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/>
  <fileSharing userName="wioletta" algorithmName="SHA-512" hashValue="P+OBt3QdS1yuNHn+7H60kwSMGyzk1CCJfJC2GvGa4sLVLhmIuivibay0Z5J49vbWCIRdaimS2ksdFoF6Qyh9zg==" saltValue="OUiE/W2wrm8mIxVYvUAiqA==" spinCount="100000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easl1dc\easlshare\New Quote Folder\EAS22314\4 BOM\"/>
    </mc:Choice>
  </mc:AlternateContent>
  <xr:revisionPtr revIDLastSave="0" documentId="13_ncr:10001_{2A73F0C7-B925-4CD5-8145-3DAC22EA7B18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Overview" sheetId="1" r:id="rId1"/>
    <sheet name="BOM" sheetId="2" r:id="rId2"/>
    <sheet name="Purchasing" sheetId="9" r:id="rId3"/>
    <sheet name="POs" sheetId="11" r:id="rId4"/>
    <sheet name="Rev History" sheetId="7" r:id="rId5"/>
    <sheet name="BCFAR" sheetId="4" r:id="rId6"/>
    <sheet name="BCDIG" sheetId="5" r:id="rId7"/>
    <sheet name="BCMOU" sheetId="8" r:id="rId8"/>
    <sheet name="Calculations" sheetId="6" r:id="rId9"/>
    <sheet name="IMPORT" sheetId="10" r:id="rId10"/>
  </sheets>
  <externalReferences>
    <externalReference r:id="rId11"/>
  </externalReferences>
  <definedNames>
    <definedName name="_xlnm._FilterDatabase" localSheetId="6" hidden="1">BCDIG!$A$1:$J$1</definedName>
    <definedName name="_xlnm._FilterDatabase" localSheetId="5" hidden="1">BCFAR!$A$1:$M$1</definedName>
    <definedName name="_xlnm._FilterDatabase" localSheetId="1" hidden="1">BOM!$A$9:$AY$28</definedName>
    <definedName name="BuildQty" localSheetId="1">BOM!$P$9</definedName>
    <definedName name="BuildQty_Data" localSheetId="1">BOM!$P$10:$P$28</definedName>
    <definedName name="BuildType" localSheetId="1">BOM!$B$9</definedName>
    <definedName name="BuildType_Data" localSheetId="1">BOM!$B$10:$B$28</definedName>
    <definedName name="CheckBy" localSheetId="1">BOM!$AY$9</definedName>
    <definedName name="CheckBy_Data" localSheetId="1">BOM!$AY$10:$AY$28</definedName>
    <definedName name="Class" localSheetId="1">BOM!$D$9</definedName>
    <definedName name="Class_Data" localSheetId="1">BOM!$D$10:$D$28</definedName>
    <definedName name="Consigned" localSheetId="1">BOM!$H$9</definedName>
    <definedName name="Consigned_Data" localSheetId="1">BOM!$H$10:$H$28</definedName>
    <definedName name="CPN" localSheetId="1">BOM!$I$9</definedName>
    <definedName name="CPN_Data" localSheetId="1">BOM!$I$10:$I$28</definedName>
    <definedName name="Description" localSheetId="1">BOM!$L9</definedName>
    <definedName name="Description_Data" localSheetId="1">BOM!$L$10:$L$28</definedName>
    <definedName name="EAS" localSheetId="1">BOM!$J$1</definedName>
    <definedName name="IPN" localSheetId="1">BOM!$R$9</definedName>
    <definedName name="IPN_Data" localSheetId="1">BOM!$R$10:$R$28</definedName>
    <definedName name="Item" localSheetId="1">BOM!$G$9</definedName>
    <definedName name="Item_Data" localSheetId="1">BOM!$G$10:$G$28</definedName>
    <definedName name="Location" localSheetId="1">BOM!$S$9</definedName>
    <definedName name="Location_Data" localSheetId="1">BOM!$S$10:$S$28</definedName>
    <definedName name="MPN" localSheetId="1">BOM!$O$9</definedName>
    <definedName name="MPN_Data" localSheetId="1">BOM!$O$10:$O$28</definedName>
    <definedName name="MPNList" localSheetId="1">BOM!$M$9</definedName>
    <definedName name="MPNList_Data" localSheetId="1">BOM!$M$10:$M$28</definedName>
    <definedName name="Notes" localSheetId="1">BOM!$W$9</definedName>
    <definedName name="Notes_Data" localSheetId="1">BOM!$W$10:$W$28</definedName>
    <definedName name="OrderQty" localSheetId="1">BOM!$T$9</definedName>
    <definedName name="OrderQty_Data" localSheetId="1">BOM!$T$10:$T$28</definedName>
    <definedName name="ProductCode" localSheetId="1">BOM!$F$9</definedName>
    <definedName name="ProductCode_Data" localSheetId="1">BOM!$F$10:$F$28</definedName>
    <definedName name="ProductType" localSheetId="1">BOM!$C$9</definedName>
    <definedName name="ProductType_Data" localSheetId="1">BOM!$C$10:$C$28</definedName>
    <definedName name="Qty" localSheetId="1">BOM!$J$9</definedName>
    <definedName name="Qty_Data" localSheetId="1">BOM!$J$10:$J$28</definedName>
    <definedName name="QtyRecd" localSheetId="1">BOM!$AX$9</definedName>
    <definedName name="QtyRecd_Data" localSheetId="1">BOM!$AX$10:$AX$28</definedName>
    <definedName name="RefDes" localSheetId="1">BOM!$K$9</definedName>
    <definedName name="RefDes_Data" localSheetId="1">BOM!$K10:K28</definedName>
    <definedName name="SPN" localSheetId="1">BOM!$Q$9</definedName>
    <definedName name="SPN_Data" localSheetId="1">BOM!$Q$10:$Q$28</definedName>
    <definedName name="Supplier" localSheetId="1">BOM!$N$9</definedName>
    <definedName name="Supplier_Data" localSheetId="1">BOM!$N$10:$N$28</definedName>
    <definedName name="TotalPrice" localSheetId="1">BOM!$V$9</definedName>
    <definedName name="TotalPrice_Data" localSheetId="1">BOM!$V$10:$V$28</definedName>
    <definedName name="UnitPrice" localSheetId="1">BOM!$U$9</definedName>
    <definedName name="UnitPrice_Data" localSheetId="1">BOM!$U$10:$U$28</definedName>
    <definedName name="UserAtt" localSheetId="1">BOM!$E$9</definedName>
    <definedName name="UserAtt_Data" localSheetId="1">BOM!$E$10:$E$28</definedName>
    <definedName name="WorksOrder" localSheetId="1">BOM!$A$9</definedName>
    <definedName name="WorksOrder_Data" localSheetId="1">BOM!$A$10:$A$28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1" l="1"/>
  <c r="I8" i="11"/>
  <c r="F16" i="11"/>
  <c r="I7" i="11" s="1"/>
  <c r="F18" i="11" l="1"/>
  <c r="F19" i="11"/>
  <c r="I9" i="11"/>
  <c r="T2" i="6"/>
  <c r="S2" i="6"/>
  <c r="R2" i="6"/>
  <c r="AW28" i="2"/>
  <c r="AV28" i="2"/>
  <c r="AW27" i="2"/>
  <c r="AV27" i="2"/>
  <c r="AW26" i="2"/>
  <c r="AV26" i="2"/>
  <c r="AW25" i="2"/>
  <c r="AV25" i="2"/>
  <c r="AW24" i="2"/>
  <c r="AV24" i="2"/>
  <c r="AW23" i="2"/>
  <c r="AV23" i="2"/>
  <c r="AW22" i="2"/>
  <c r="AV22" i="2"/>
  <c r="AW21" i="2"/>
  <c r="AV21" i="2"/>
  <c r="AW20" i="2"/>
  <c r="AV20" i="2"/>
  <c r="AW19" i="2"/>
  <c r="AV19" i="2"/>
  <c r="AW18" i="2"/>
  <c r="AV18" i="2"/>
  <c r="AW17" i="2"/>
  <c r="AV17" i="2"/>
  <c r="AW16" i="2"/>
  <c r="AV16" i="2"/>
  <c r="AW15" i="2"/>
  <c r="AV15" i="2"/>
  <c r="AW14" i="2"/>
  <c r="AV14" i="2"/>
  <c r="AW13" i="2"/>
  <c r="AV13" i="2"/>
  <c r="AW12" i="2"/>
  <c r="AV12" i="2"/>
  <c r="AW11" i="2"/>
  <c r="AV11" i="2"/>
  <c r="AW10" i="2"/>
  <c r="AV10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E4" i="6"/>
  <c r="A1" i="2"/>
  <c r="W7" i="2"/>
  <c r="K13" i="9"/>
  <c r="K15" i="9" s="1"/>
  <c r="H14" i="9"/>
  <c r="I14" i="9" s="1"/>
  <c r="H13" i="9"/>
  <c r="I13" i="9" s="1"/>
  <c r="H12" i="9"/>
  <c r="I12" i="9" s="1"/>
  <c r="H11" i="9"/>
  <c r="I11" i="9" s="1"/>
  <c r="H9" i="9"/>
  <c r="I9" i="9" s="1"/>
  <c r="H8" i="9"/>
  <c r="I8" i="9" s="1"/>
  <c r="H7" i="9"/>
  <c r="I7" i="9" s="1"/>
  <c r="H6" i="9"/>
  <c r="I6" i="9" s="1"/>
  <c r="R3" i="9"/>
  <c r="O3" i="9"/>
  <c r="N3" i="9"/>
  <c r="L3" i="9"/>
  <c r="K3" i="9"/>
  <c r="R18" i="9"/>
  <c r="E18" i="9"/>
  <c r="G14" i="9"/>
  <c r="G13" i="9"/>
  <c r="G12" i="9"/>
  <c r="G11" i="9"/>
  <c r="G10" i="9"/>
  <c r="H10" i="9" s="1"/>
  <c r="I10" i="9" s="1"/>
  <c r="G9" i="9"/>
  <c r="G8" i="9"/>
  <c r="G7" i="9"/>
  <c r="G6" i="9"/>
  <c r="G5" i="9"/>
  <c r="G4" i="9"/>
  <c r="V28" i="2"/>
  <c r="V27" i="2"/>
  <c r="V26" i="2"/>
  <c r="V25" i="2"/>
  <c r="V24" i="2"/>
  <c r="V23" i="2"/>
  <c r="V21" i="2"/>
  <c r="V20" i="2"/>
  <c r="V19" i="2"/>
  <c r="V18" i="2"/>
  <c r="V17" i="2"/>
  <c r="V16" i="2"/>
  <c r="V15" i="2"/>
  <c r="V14" i="2"/>
  <c r="V13" i="2"/>
  <c r="V12" i="2"/>
  <c r="V11" i="2"/>
  <c r="V10" i="2"/>
  <c r="U17" i="1"/>
  <c r="U19" i="1"/>
  <c r="U21" i="1"/>
  <c r="U23" i="1"/>
  <c r="U25" i="1"/>
  <c r="AC2" i="6"/>
  <c r="AA4" i="6"/>
  <c r="Q2" i="6"/>
  <c r="Q3" i="1"/>
  <c r="C5" i="7"/>
  <c r="C2" i="7"/>
  <c r="B3" i="6"/>
  <c r="Y11" i="2" s="1"/>
  <c r="C3" i="6"/>
  <c r="Z11" i="2" s="1"/>
  <c r="F3" i="6"/>
  <c r="G3" i="6"/>
  <c r="H3" i="6"/>
  <c r="I3" i="6"/>
  <c r="J3" i="6"/>
  <c r="K3" i="6"/>
  <c r="L3" i="6"/>
  <c r="M3" i="6"/>
  <c r="B4" i="6"/>
  <c r="Y12" i="2" s="1"/>
  <c r="C4" i="6"/>
  <c r="Z12" i="2" s="1"/>
  <c r="F4" i="6"/>
  <c r="G4" i="6"/>
  <c r="H4" i="6"/>
  <c r="I4" i="6"/>
  <c r="J4" i="6"/>
  <c r="K4" i="6"/>
  <c r="L4" i="6"/>
  <c r="M4" i="6"/>
  <c r="B5" i="6"/>
  <c r="Y13" i="2" s="1"/>
  <c r="C5" i="6"/>
  <c r="Z13" i="2" s="1"/>
  <c r="F5" i="6"/>
  <c r="G5" i="6"/>
  <c r="H5" i="6"/>
  <c r="I5" i="6"/>
  <c r="J5" i="6"/>
  <c r="K5" i="6"/>
  <c r="L5" i="6"/>
  <c r="M5" i="6"/>
  <c r="B6" i="6"/>
  <c r="Y14" i="2" s="1"/>
  <c r="C6" i="6"/>
  <c r="Z14" i="2" s="1"/>
  <c r="F6" i="6"/>
  <c r="G6" i="6"/>
  <c r="H6" i="6"/>
  <c r="I6" i="6"/>
  <c r="J6" i="6"/>
  <c r="K6" i="6"/>
  <c r="L6" i="6"/>
  <c r="M6" i="6"/>
  <c r="B7" i="6"/>
  <c r="Y15" i="2" s="1"/>
  <c r="C7" i="6"/>
  <c r="Z15" i="2" s="1"/>
  <c r="F7" i="6"/>
  <c r="G7" i="6"/>
  <c r="H7" i="6"/>
  <c r="I7" i="6"/>
  <c r="J7" i="6"/>
  <c r="K7" i="6"/>
  <c r="L7" i="6"/>
  <c r="M7" i="6"/>
  <c r="B8" i="6"/>
  <c r="Y16" i="2" s="1"/>
  <c r="C8" i="6"/>
  <c r="Z16" i="2" s="1"/>
  <c r="F8" i="6"/>
  <c r="G8" i="6"/>
  <c r="H8" i="6"/>
  <c r="I8" i="6"/>
  <c r="J8" i="6"/>
  <c r="K8" i="6"/>
  <c r="L8" i="6"/>
  <c r="M8" i="6"/>
  <c r="B9" i="6"/>
  <c r="Y17" i="2" s="1"/>
  <c r="C9" i="6"/>
  <c r="Z17" i="2" s="1"/>
  <c r="F9" i="6"/>
  <c r="G9" i="6"/>
  <c r="H9" i="6"/>
  <c r="I9" i="6"/>
  <c r="J9" i="6"/>
  <c r="K9" i="6"/>
  <c r="L9" i="6"/>
  <c r="M9" i="6"/>
  <c r="B10" i="6"/>
  <c r="Y18" i="2" s="1"/>
  <c r="C10" i="6"/>
  <c r="Z18" i="2" s="1"/>
  <c r="F10" i="6"/>
  <c r="G10" i="6"/>
  <c r="H10" i="6"/>
  <c r="I10" i="6"/>
  <c r="J10" i="6"/>
  <c r="K10" i="6"/>
  <c r="M10" i="6"/>
  <c r="B11" i="6"/>
  <c r="Y19" i="2" s="1"/>
  <c r="C11" i="6"/>
  <c r="Z19" i="2" s="1"/>
  <c r="F11" i="6"/>
  <c r="G11" i="6"/>
  <c r="H11" i="6"/>
  <c r="I11" i="6"/>
  <c r="J11" i="6"/>
  <c r="K11" i="6"/>
  <c r="M11" i="6"/>
  <c r="B12" i="6"/>
  <c r="Y20" i="2" s="1"/>
  <c r="C12" i="6"/>
  <c r="Z20" i="2" s="1"/>
  <c r="F12" i="6"/>
  <c r="G12" i="6"/>
  <c r="H12" i="6"/>
  <c r="I12" i="6"/>
  <c r="J12" i="6"/>
  <c r="K12" i="6"/>
  <c r="M12" i="6"/>
  <c r="B13" i="6"/>
  <c r="Y21" i="2" s="1"/>
  <c r="C13" i="6"/>
  <c r="Z21" i="2" s="1"/>
  <c r="F13" i="6"/>
  <c r="G13" i="6"/>
  <c r="H13" i="6"/>
  <c r="I13" i="6"/>
  <c r="J13" i="6"/>
  <c r="K13" i="6"/>
  <c r="L13" i="6"/>
  <c r="M13" i="6"/>
  <c r="B14" i="6"/>
  <c r="Y22" i="2" s="1"/>
  <c r="C14" i="6"/>
  <c r="Z22" i="2" s="1"/>
  <c r="F14" i="6"/>
  <c r="G14" i="6"/>
  <c r="H14" i="6"/>
  <c r="I14" i="6"/>
  <c r="J14" i="6"/>
  <c r="K14" i="6"/>
  <c r="L14" i="6"/>
  <c r="M14" i="6"/>
  <c r="B15" i="6"/>
  <c r="Y23" i="2" s="1"/>
  <c r="C15" i="6"/>
  <c r="Z23" i="2" s="1"/>
  <c r="F15" i="6"/>
  <c r="G15" i="6"/>
  <c r="H15" i="6"/>
  <c r="I15" i="6"/>
  <c r="J15" i="6"/>
  <c r="K15" i="6"/>
  <c r="L15" i="6"/>
  <c r="M15" i="6"/>
  <c r="B16" i="6"/>
  <c r="Y24" i="2" s="1"/>
  <c r="C16" i="6"/>
  <c r="Z24" i="2" s="1"/>
  <c r="F16" i="6"/>
  <c r="G16" i="6"/>
  <c r="H16" i="6"/>
  <c r="I16" i="6"/>
  <c r="J16" i="6"/>
  <c r="K16" i="6"/>
  <c r="L16" i="6"/>
  <c r="M16" i="6"/>
  <c r="B17" i="6"/>
  <c r="Y25" i="2" s="1"/>
  <c r="C17" i="6"/>
  <c r="Z25" i="2" s="1"/>
  <c r="F17" i="6"/>
  <c r="G17" i="6"/>
  <c r="H17" i="6"/>
  <c r="I17" i="6"/>
  <c r="J17" i="6"/>
  <c r="K17" i="6"/>
  <c r="L17" i="6"/>
  <c r="M17" i="6"/>
  <c r="B18" i="6"/>
  <c r="Y26" i="2" s="1"/>
  <c r="C18" i="6"/>
  <c r="Z26" i="2" s="1"/>
  <c r="F18" i="6"/>
  <c r="G18" i="6"/>
  <c r="H18" i="6"/>
  <c r="I18" i="6"/>
  <c r="J18" i="6"/>
  <c r="K18" i="6"/>
  <c r="L18" i="6"/>
  <c r="M18" i="6"/>
  <c r="B19" i="6"/>
  <c r="Y27" i="2" s="1"/>
  <c r="C19" i="6"/>
  <c r="Z27" i="2" s="1"/>
  <c r="F19" i="6"/>
  <c r="G19" i="6"/>
  <c r="H19" i="6"/>
  <c r="I19" i="6"/>
  <c r="J19" i="6"/>
  <c r="K19" i="6"/>
  <c r="L19" i="6"/>
  <c r="M19" i="6"/>
  <c r="B20" i="6"/>
  <c r="Y28" i="2" s="1"/>
  <c r="C20" i="6"/>
  <c r="Z28" i="2" s="1"/>
  <c r="F20" i="6"/>
  <c r="G20" i="6"/>
  <c r="H20" i="6"/>
  <c r="I20" i="6"/>
  <c r="J20" i="6"/>
  <c r="K20" i="6"/>
  <c r="L20" i="6"/>
  <c r="M20" i="6"/>
  <c r="O2" i="6"/>
  <c r="N2" i="6"/>
  <c r="M2" i="6"/>
  <c r="L2" i="6"/>
  <c r="K2" i="6"/>
  <c r="J2" i="6"/>
  <c r="I2" i="6"/>
  <c r="H2" i="6"/>
  <c r="G2" i="6"/>
  <c r="F2" i="6"/>
  <c r="C2" i="6"/>
  <c r="Z10" i="2" s="1"/>
  <c r="B2" i="6"/>
  <c r="Y10" i="2" s="1"/>
  <c r="E20" i="1"/>
  <c r="K18" i="9" s="1"/>
  <c r="H17" i="1"/>
  <c r="M3" i="9" s="1"/>
  <c r="E17" i="1"/>
  <c r="K11" i="9" s="1"/>
  <c r="V35" i="1" s="1"/>
  <c r="R4" i="2" s="1"/>
  <c r="J4" i="1"/>
  <c r="E3" i="1"/>
  <c r="C18" i="9" s="1"/>
  <c r="J7" i="2"/>
  <c r="J6" i="2"/>
  <c r="P3" i="9" l="1"/>
  <c r="P10" i="6"/>
  <c r="M17" i="9"/>
  <c r="H5" i="9"/>
  <c r="I5" i="9" s="1"/>
  <c r="N26" i="1"/>
  <c r="U13" i="1"/>
  <c r="U15" i="1"/>
  <c r="AE3" i="6"/>
  <c r="H4" i="9"/>
  <c r="I4" i="9" s="1"/>
  <c r="Q3" i="9"/>
  <c r="A18" i="6"/>
  <c r="X26" i="2" s="1"/>
  <c r="D14" i="6"/>
  <c r="D15" i="6"/>
  <c r="K20" i="1"/>
  <c r="W15" i="1"/>
  <c r="A6" i="6"/>
  <c r="A2" i="6"/>
  <c r="E2" i="6" s="1"/>
  <c r="AA10" i="2" s="1"/>
  <c r="A20" i="6"/>
  <c r="A7" i="6"/>
  <c r="K14" i="1"/>
  <c r="D18" i="6"/>
  <c r="A13" i="6"/>
  <c r="X21" i="2" s="1"/>
  <c r="D8" i="6"/>
  <c r="A15" i="6"/>
  <c r="L10" i="6"/>
  <c r="A4" i="6"/>
  <c r="A17" i="6"/>
  <c r="A3" i="6"/>
  <c r="A14" i="6"/>
  <c r="L12" i="6"/>
  <c r="D11" i="6"/>
  <c r="D20" i="6"/>
  <c r="D2" i="6"/>
  <c r="D5" i="6"/>
  <c r="A12" i="6"/>
  <c r="A10" i="6"/>
  <c r="D19" i="6"/>
  <c r="A5" i="6"/>
  <c r="D4" i="6"/>
  <c r="D12" i="6"/>
  <c r="L11" i="6"/>
  <c r="D6" i="6"/>
  <c r="D13" i="6"/>
  <c r="A19" i="6"/>
  <c r="A8" i="6"/>
  <c r="D7" i="6"/>
  <c r="A16" i="6"/>
  <c r="A9" i="6"/>
  <c r="D9" i="6"/>
  <c r="D16" i="6"/>
  <c r="D17" i="6"/>
  <c r="D10" i="6"/>
  <c r="D3" i="6"/>
  <c r="K18" i="1"/>
  <c r="A11" i="6"/>
  <c r="E18" i="6" l="1"/>
  <c r="AA26" i="2" s="1"/>
  <c r="E13" i="6"/>
  <c r="AA21" i="2" s="1"/>
  <c r="U27" i="1"/>
  <c r="S35" i="1" s="1"/>
  <c r="M11" i="9" s="1"/>
  <c r="E9" i="6"/>
  <c r="AA17" i="2" s="1"/>
  <c r="X17" i="2"/>
  <c r="E4" i="6"/>
  <c r="AA12" i="2" s="1"/>
  <c r="X12" i="2"/>
  <c r="E12" i="6"/>
  <c r="AA20" i="2" s="1"/>
  <c r="X20" i="2"/>
  <c r="E15" i="6"/>
  <c r="AA23" i="2" s="1"/>
  <c r="X23" i="2"/>
  <c r="E10" i="6"/>
  <c r="AA18" i="2" s="1"/>
  <c r="X18" i="2"/>
  <c r="E16" i="6"/>
  <c r="AA24" i="2" s="1"/>
  <c r="X24" i="2"/>
  <c r="E8" i="6"/>
  <c r="AA16" i="2" s="1"/>
  <c r="X16" i="2"/>
  <c r="E19" i="6"/>
  <c r="AA27" i="2" s="1"/>
  <c r="X27" i="2"/>
  <c r="N22" i="1"/>
  <c r="E11" i="6"/>
  <c r="AA19" i="2" s="1"/>
  <c r="X19" i="2"/>
  <c r="E7" i="6"/>
  <c r="AA15" i="2" s="1"/>
  <c r="X15" i="2"/>
  <c r="E20" i="6"/>
  <c r="AA28" i="2" s="1"/>
  <c r="X28" i="2"/>
  <c r="Q26" i="1"/>
  <c r="Q22" i="1"/>
  <c r="R22" i="1" s="1"/>
  <c r="X10" i="2"/>
  <c r="E5" i="6"/>
  <c r="AA13" i="2" s="1"/>
  <c r="X13" i="2"/>
  <c r="E3" i="6"/>
  <c r="AA11" i="2" s="1"/>
  <c r="X11" i="2"/>
  <c r="E6" i="6"/>
  <c r="AA14" i="2" s="1"/>
  <c r="X14" i="2"/>
  <c r="E14" i="6"/>
  <c r="AA22" i="2" s="1"/>
  <c r="X22" i="2"/>
  <c r="E17" i="6"/>
  <c r="AA25" i="2" s="1"/>
  <c r="X25" i="2"/>
  <c r="R5" i="2"/>
  <c r="Q11" i="9"/>
  <c r="K16" i="1"/>
  <c r="AA2" i="6"/>
  <c r="S41" i="1" l="1"/>
  <c r="R6" i="2" s="1"/>
  <c r="W25" i="1"/>
  <c r="O11" i="9" s="1"/>
  <c r="R3" i="2"/>
  <c r="O16" i="9"/>
  <c r="M9" i="9"/>
  <c r="O14" i="9" s="1"/>
  <c r="Q14" i="9"/>
  <c r="AE2" i="6" s="1"/>
  <c r="AE5" i="6"/>
  <c r="AA3" i="6"/>
  <c r="R8" i="9"/>
  <c r="O22" i="1"/>
  <c r="O26" i="1"/>
  <c r="P8" i="9"/>
  <c r="R26" i="1"/>
</calcChain>
</file>

<file path=xl/sharedStrings.xml><?xml version="1.0" encoding="utf-8"?>
<sst xmlns="http://schemas.openxmlformats.org/spreadsheetml/2006/main" count="1125" uniqueCount="368">
  <si>
    <t>EAS</t>
  </si>
  <si>
    <t>Mouser</t>
  </si>
  <si>
    <t>Farnell</t>
  </si>
  <si>
    <t>RS</t>
  </si>
  <si>
    <t>Arrow</t>
  </si>
  <si>
    <t>Total</t>
  </si>
  <si>
    <t>Quoted</t>
  </si>
  <si>
    <t>Profit/Loss</t>
  </si>
  <si>
    <t>Qty Check</t>
  </si>
  <si>
    <t>BOM Check</t>
  </si>
  <si>
    <t>Change Description</t>
  </si>
  <si>
    <t>Initial Buy</t>
  </si>
  <si>
    <t>Name</t>
  </si>
  <si>
    <t>20</t>
  </si>
  <si>
    <t>Athena Racing (Athena Racing)</t>
  </si>
  <si>
    <t>EPA-003150_01</t>
  </si>
  <si>
    <t>Works Order</t>
  </si>
  <si>
    <t>Build Type</t>
  </si>
  <si>
    <t>Product Type</t>
  </si>
  <si>
    <t>Class (Calculation Part)</t>
  </si>
  <si>
    <t>User attribut</t>
  </si>
  <si>
    <t>Product Code</t>
  </si>
  <si>
    <t>Item</t>
  </si>
  <si>
    <t>Consigned</t>
  </si>
  <si>
    <t>CPN</t>
  </si>
  <si>
    <t>RefDes</t>
  </si>
  <si>
    <t>Description</t>
  </si>
  <si>
    <t>MPN-List (BOM)</t>
  </si>
  <si>
    <t>MPN</t>
  </si>
  <si>
    <t>Purchased Part</t>
  </si>
  <si>
    <t>IPN</t>
  </si>
  <si>
    <t>Location</t>
  </si>
  <si>
    <t>Unit Price</t>
  </si>
  <si>
    <t>Notes</t>
  </si>
  <si>
    <t/>
  </si>
  <si>
    <t>False</t>
  </si>
  <si>
    <t>CRC32-774E543A</t>
  </si>
  <si>
    <t>C1, C2, C8, C10</t>
  </si>
  <si>
    <t>4.7uF Capacitor 50V 10% (+/-) X7R sm0805_H_135</t>
  </si>
  <si>
    <t>Murata: GRM21BZ71H475KE15K, Farnell: 3581786</t>
  </si>
  <si>
    <t>GRM21BZ71H475KE15K</t>
  </si>
  <si>
    <t>3582887</t>
  </si>
  <si>
    <t>CRC32-B3E5C1DF</t>
  </si>
  <si>
    <t>C3, C4</t>
  </si>
  <si>
    <t>10nF Capacitor 50V 5% (+/-) X7R sm0402_H</t>
  </si>
  <si>
    <t>Murata: GRM155R71H103JA88D, Digi-Key: 490-7763-1-ND</t>
  </si>
  <si>
    <t>GRM155R71H103JA88D</t>
  </si>
  <si>
    <t>3582814</t>
  </si>
  <si>
    <t>CRC32-CD461878</t>
  </si>
  <si>
    <t>C5</t>
  </si>
  <si>
    <t>2.2uF Capacitor 16V 20% (+/-) X7T sm0402_H_070</t>
  </si>
  <si>
    <t>Murata: GRM155D71C225ME11D, Digi-Key: 490-GRM155D71C225ME11DCT-ND</t>
  </si>
  <si>
    <t>GRM155D71C225ME11D</t>
  </si>
  <si>
    <t>3581351</t>
  </si>
  <si>
    <t>CRC32-FDDD2525</t>
  </si>
  <si>
    <t>C6, C7</t>
  </si>
  <si>
    <t>220pF Capacitor 50V 5% (+/-) NP0 sm0402_H_056</t>
  </si>
  <si>
    <t>Kemet: C0402C221J5GACTU, Farnell: 1414581</t>
  </si>
  <si>
    <t>C0402C221J5GACTU</t>
  </si>
  <si>
    <t>1414581</t>
  </si>
  <si>
    <t>CRC32-4D258AEA</t>
  </si>
  <si>
    <t>C9</t>
  </si>
  <si>
    <t>100nF Capacitor 50V 10% (+/-) X7R sm0402_H_056</t>
  </si>
  <si>
    <t>TDK: C1005X7R1H104K050BB, Mouser: 810-C1005X7R1H104K</t>
  </si>
  <si>
    <t>C1005X7R1H104K050BB</t>
  </si>
  <si>
    <t>2525047</t>
  </si>
  <si>
    <t>CRC32-45FF8816</t>
  </si>
  <si>
    <t>C11, C12, C13, C16, C17, C18</t>
  </si>
  <si>
    <t>22uF Capacitor 16V 20% (+/-) X7R sm1206_h_190</t>
  </si>
  <si>
    <t>Murata: GRM31CZ71C226ME15L, Digi-Key: 490-GRM31CZ71C226ME15LCT-ND</t>
  </si>
  <si>
    <t>Digi-Key</t>
  </si>
  <si>
    <t>GRM31CZ71C226ME15L</t>
  </si>
  <si>
    <t>490-GRM31CZ71C226ME15LCT-ND</t>
  </si>
  <si>
    <t>CRC32-8454D357</t>
  </si>
  <si>
    <t>C15, C20</t>
  </si>
  <si>
    <t>4.7pF Capacitor 50V +/-0.25pF NP0 sm0402_H_056</t>
  </si>
  <si>
    <t>Kemet: C0402C479C5GACTU, Farnell: 1800798</t>
  </si>
  <si>
    <t>C0402C479C5GACTU</t>
  </si>
  <si>
    <t>1800798</t>
  </si>
  <si>
    <t>CRC32-8FBA920C</t>
  </si>
  <si>
    <t>D1</t>
  </si>
  <si>
    <t>SZMMSZ5240BT1G Zener Diode 10V(r) 0.9V(f) 3uA SZMMSZ5240BT1G</t>
  </si>
  <si>
    <t>ONSEMI: SZMMSZ5240BT1G, Digi-Key: SZMMSZ5240BT1GOSTR-ND</t>
  </si>
  <si>
    <t>SZMMSZ5240BT1G</t>
  </si>
  <si>
    <t>2774580</t>
  </si>
  <si>
    <t>CRC32-C3BBF4</t>
  </si>
  <si>
    <t>J1</t>
  </si>
  <si>
    <t>E222V12E51 Must be purchased from www.nicomatic.com only 12 1.27mm 3A E222V12E51</t>
  </si>
  <si>
    <t>NICOMATIC: E222V12E51</t>
  </si>
  <si>
    <t>CRC32-AF2DF941</t>
  </si>
  <si>
    <t>L1</t>
  </si>
  <si>
    <t>3.3uH Inductor 5.5A 0.0166Ohm 80V XGL4040-332MEC</t>
  </si>
  <si>
    <t>COILCRAFT: XGL4040-332MEC, Digi-Key: 4652-XGL4040-332MEC-ND</t>
  </si>
  <si>
    <t>CRC32-40839710</t>
  </si>
  <si>
    <t>L2</t>
  </si>
  <si>
    <t>1uH Inductor 9.3A 0.0056Ohm 80V XGL4040-102MEC</t>
  </si>
  <si>
    <t>COILCRAFT: XGL4040-102MEC, Digi-Key: 4652-XGL4040-102MEC-ND</t>
  </si>
  <si>
    <t>CRC32-93E11FE4</t>
  </si>
  <si>
    <t>Q1</t>
  </si>
  <si>
    <t>DMP4013LFG-7 P-CH Mosfet P-CH 13mOhm R(ds) 1channel DMP4013LFG-7</t>
  </si>
  <si>
    <t>DIODES INC: DMP4013LFG-7, Digi-Key: DMP4013LFG-7DITR-ND</t>
  </si>
  <si>
    <t>DMP4013LFG-7</t>
  </si>
  <si>
    <t>3405200</t>
  </si>
  <si>
    <t>CRC32-7E1F6893</t>
  </si>
  <si>
    <t>R2, R3, R6</t>
  </si>
  <si>
    <t>15K Resistor 50V 63mW 1% (+/-) sm0402_H</t>
  </si>
  <si>
    <t>Vishay: CRCW040215K0FKED, Farnell: 1469683</t>
  </si>
  <si>
    <t>CRCW040215K0FKED</t>
  </si>
  <si>
    <t>1469683</t>
  </si>
  <si>
    <t>CRC32-5D8CC653</t>
  </si>
  <si>
    <t>R5</t>
  </si>
  <si>
    <t>140K Resistor 75V 63mW 0.1% (+/-) sm0402_H</t>
  </si>
  <si>
    <t>TE Connectivity: RP73PF1E140KBTD, Digi-Key: A127525TR-ND</t>
  </si>
  <si>
    <t>RP73PF1E140KBTD</t>
  </si>
  <si>
    <t>A127525CT-ND</t>
  </si>
  <si>
    <t>CRC32-377DB61F</t>
  </si>
  <si>
    <t>R8</t>
  </si>
  <si>
    <t>3.3K Resistor 75V 100mW 1% (+/-) SM0603_H_055</t>
  </si>
  <si>
    <t>Vishay: CRCW06033K30FKEA, Farnell: 1469793</t>
  </si>
  <si>
    <t>CRCW06033K30FKEA</t>
  </si>
  <si>
    <t>1469793</t>
  </si>
  <si>
    <t>CRC32-C9EA3965</t>
  </si>
  <si>
    <t>R9</t>
  </si>
  <si>
    <t>53.6K Resistor 50V 63mW 0.1% (+/-) sm0402_h</t>
  </si>
  <si>
    <t>PANASONIC: ERA-2AEB5362X, Digi-Key: P53.6KDCCT-ND</t>
  </si>
  <si>
    <t>ERA2AEB5362X</t>
  </si>
  <si>
    <t>2563621</t>
  </si>
  <si>
    <t>CRC32-95CB1EAF</t>
  </si>
  <si>
    <t>R10</t>
  </si>
  <si>
    <t>10.2K Resistor 75V 63mW 0.1% (+/-) sm0402_H</t>
  </si>
  <si>
    <t>PANASONIC: ERA-2ARB1022X, Digi-Key: P17920TR-ND</t>
  </si>
  <si>
    <t>ERA-2ARB1022X</t>
  </si>
  <si>
    <t>P17920CT-ND</t>
  </si>
  <si>
    <t>CRC32-B00FE212</t>
  </si>
  <si>
    <t>R11</t>
  </si>
  <si>
    <t>10K Resistor 50V 100mW 0.1% () sm0402_H</t>
  </si>
  <si>
    <t>TE Connectivity: RP73PF1E10KBTD, Farnell: 2838469</t>
  </si>
  <si>
    <t>RP73PF1E10KBTD</t>
  </si>
  <si>
    <t>2838469</t>
  </si>
  <si>
    <t>CRC32-189CD078</t>
  </si>
  <si>
    <t>U1</t>
  </si>
  <si>
    <t>LT8650SEV#TRPBF Dual Buck Regulator IC 8A 3 - 42V(in) 0.8 - 42V(out) LT8650SEV#TRPBF</t>
  </si>
  <si>
    <t>Analog Devices: LT8650SEV#TRPBF, Digi-Key: 505-LT8650SEV#TRPBFCT-ND</t>
  </si>
  <si>
    <t>LT8650SEV#TRPBF</t>
  </si>
  <si>
    <t>505-LT8650SEV#TRPBFCT-ND</t>
  </si>
  <si>
    <t>General Information</t>
  </si>
  <si>
    <t>Overview</t>
  </si>
  <si>
    <t>Format Check</t>
  </si>
  <si>
    <t>Format Baskets</t>
  </si>
  <si>
    <t>Purhcasing</t>
  </si>
  <si>
    <t>Price Breakdown</t>
  </si>
  <si>
    <t>Stats</t>
  </si>
  <si>
    <t>Project Name:</t>
  </si>
  <si>
    <t>Production Qty:</t>
  </si>
  <si>
    <t>Buyer:</t>
  </si>
  <si>
    <t>Lines:</t>
  </si>
  <si>
    <t>Part</t>
  </si>
  <si>
    <t>Info / Issue</t>
  </si>
  <si>
    <t>Action</t>
  </si>
  <si>
    <t>Formatting</t>
  </si>
  <si>
    <t>Purchasing</t>
  </si>
  <si>
    <t>ERP Import update</t>
  </si>
  <si>
    <t>Print</t>
  </si>
  <si>
    <t>Line Colour</t>
  </si>
  <si>
    <t>Red (Standard)</t>
  </si>
  <si>
    <t>Orange (Standard)</t>
  </si>
  <si>
    <t>Yellow (Standard)</t>
  </si>
  <si>
    <t>Olive green, Accent 3, Lighter 40%</t>
  </si>
  <si>
    <t>Light Blue (Standard)</t>
  </si>
  <si>
    <t>White, Background 1, Darker 50%</t>
  </si>
  <si>
    <t>Alternative</t>
  </si>
  <si>
    <t>Empty</t>
  </si>
  <si>
    <t>Free Issue</t>
  </si>
  <si>
    <t>Stock</t>
  </si>
  <si>
    <t>Long Lead</t>
  </si>
  <si>
    <t>DNF</t>
  </si>
  <si>
    <t>Based on alternative in notes column</t>
  </si>
  <si>
    <t>Based on no part in part purchased column</t>
  </si>
  <si>
    <t>Based on consigned being true</t>
  </si>
  <si>
    <t>Based on distributor as stock or location</t>
  </si>
  <si>
    <t>Based on long lead in notes column</t>
  </si>
  <si>
    <t>Based on DNF in notes column</t>
  </si>
  <si>
    <t>QAR__ issue__ August 2019</t>
  </si>
  <si>
    <t>Qty check</t>
  </si>
  <si>
    <t>MPN check</t>
  </si>
  <si>
    <t>SPN check</t>
  </si>
  <si>
    <t>MPN or SPN</t>
  </si>
  <si>
    <t>Check</t>
  </si>
  <si>
    <t>Approved</t>
  </si>
  <si>
    <t>Price on attrition</t>
  </si>
  <si>
    <t>Far</t>
  </si>
  <si>
    <t>Dig</t>
  </si>
  <si>
    <t>Macro</t>
  </si>
  <si>
    <t>Download basket into an excel file making sure all parts line up with BOM then copy and paste into this cell</t>
  </si>
  <si>
    <t>Exported on:</t>
  </si>
  <si>
    <t>Current Rev</t>
  </si>
  <si>
    <t>Revision</t>
  </si>
  <si>
    <t>Purchaser</t>
  </si>
  <si>
    <t>Parts Changed/Added</t>
  </si>
  <si>
    <t>Date</t>
  </si>
  <si>
    <t>A</t>
  </si>
  <si>
    <t>N/A</t>
  </si>
  <si>
    <t>Mou</t>
  </si>
  <si>
    <t>FarB</t>
  </si>
  <si>
    <t>DigB</t>
  </si>
  <si>
    <t>MouB</t>
  </si>
  <si>
    <t>Dict</t>
  </si>
  <si>
    <t>Debug</t>
  </si>
  <si>
    <t>Version</t>
  </si>
  <si>
    <t>0.7.7</t>
  </si>
  <si>
    <t>PI_List</t>
  </si>
  <si>
    <t>PI_Buttons</t>
  </si>
  <si>
    <t>PI_Dates</t>
  </si>
  <si>
    <t>PI_Checks</t>
  </si>
  <si>
    <t>PI_Show</t>
  </si>
  <si>
    <t>BH_Check</t>
  </si>
  <si>
    <t>PI_Price</t>
  </si>
  <si>
    <t>Qty</t>
  </si>
  <si>
    <t>Supplier</t>
  </si>
  <si>
    <t>Build</t>
  </si>
  <si>
    <t>Order</t>
  </si>
  <si>
    <t>Unit(£)</t>
  </si>
  <si>
    <t>Total(£)</t>
  </si>
  <si>
    <t>Digi-key</t>
  </si>
  <si>
    <t>Supplier1</t>
  </si>
  <si>
    <t>Supplier2</t>
  </si>
  <si>
    <t>Other</t>
  </si>
  <si>
    <t>Delivery</t>
  </si>
  <si>
    <t>Discount</t>
  </si>
  <si>
    <t>Attrition price %</t>
  </si>
  <si>
    <t>Total Purchased (BOM)</t>
  </si>
  <si>
    <t>Estimated Profit/Loss</t>
  </si>
  <si>
    <t>Wioletta Cendrowska</t>
  </si>
  <si>
    <t>Quoted Price</t>
  </si>
  <si>
    <t>1st Buy</t>
  </si>
  <si>
    <t>2nd Buy</t>
  </si>
  <si>
    <t>PO's</t>
  </si>
  <si>
    <t>Quest</t>
  </si>
  <si>
    <t>Supplier3</t>
  </si>
  <si>
    <t>Supplier4</t>
  </si>
  <si>
    <t>Supplier5</t>
  </si>
  <si>
    <t>Supplier BOM Prices</t>
  </si>
  <si>
    <t>BOM Price</t>
  </si>
  <si>
    <t>Price Difference</t>
  </si>
  <si>
    <t>Job Number</t>
  </si>
  <si>
    <t>Lines</t>
  </si>
  <si>
    <t>Total Spent</t>
  </si>
  <si>
    <t>Build Profit</t>
  </si>
  <si>
    <t>Build Loss</t>
  </si>
  <si>
    <t>Additional Discount</t>
  </si>
  <si>
    <t>Purchasing Information</t>
  </si>
  <si>
    <t>To Check</t>
  </si>
  <si>
    <t>Quoted PPB</t>
  </si>
  <si>
    <t>PPB</t>
  </si>
  <si>
    <t>Quoted Total</t>
  </si>
  <si>
    <t>Total (BOM)</t>
  </si>
  <si>
    <t>Basket</t>
  </si>
  <si>
    <t>MPN/SPN</t>
  </si>
  <si>
    <t>Attrition</t>
  </si>
  <si>
    <t>Attrition Price %</t>
  </si>
  <si>
    <t>Price on Attrition</t>
  </si>
  <si>
    <t>'Quoted PPB' to 'PPB'</t>
  </si>
  <si>
    <t>'Quoted Total' to 'Total'</t>
  </si>
  <si>
    <t>'Total calculated' to 'Basket'</t>
  </si>
  <si>
    <t>Basket Prices</t>
  </si>
  <si>
    <r>
      <t xml:space="preserve">Insert basket prices into this table (only fill in 2nd buy if buying from a supplier for a second time for this buy). </t>
    </r>
    <r>
      <rPr>
        <b/>
        <sz val="10"/>
        <color rgb="FFFF0000"/>
        <rFont val="Arial"/>
        <family val="2"/>
      </rPr>
      <t>Put in relevant PO's for each basket purchase.</t>
    </r>
  </si>
  <si>
    <r>
      <t xml:space="preserve">These two prices should be the same. If not then the </t>
    </r>
    <r>
      <rPr>
        <b/>
        <sz val="10"/>
        <color rgb="FFFF0000"/>
        <rFont val="Arial"/>
        <family val="2"/>
      </rPr>
      <t>unit</t>
    </r>
    <r>
      <rPr>
        <b/>
        <sz val="10"/>
        <rFont val="Arial"/>
        <family val="2"/>
      </rPr>
      <t xml:space="preserve"> </t>
    </r>
    <r>
      <rPr>
        <b/>
        <sz val="10"/>
        <color rgb="FFFF0000"/>
        <rFont val="Arial"/>
        <family val="2"/>
      </rPr>
      <t>price</t>
    </r>
    <r>
      <rPr>
        <b/>
        <sz val="10"/>
        <rFont val="Arial"/>
        <family val="2"/>
      </rPr>
      <t xml:space="preserve"> or </t>
    </r>
    <r>
      <rPr>
        <b/>
        <sz val="10"/>
        <color rgb="FFFF0000"/>
        <rFont val="Arial"/>
        <family val="2"/>
      </rPr>
      <t>order qty</t>
    </r>
    <r>
      <rPr>
        <b/>
        <sz val="10"/>
        <rFont val="Arial"/>
        <family val="2"/>
      </rPr>
      <t xml:space="preserve"> needs to be changed on the BOM so the calculations match!</t>
    </r>
  </si>
  <si>
    <r>
      <t xml:space="preserve">Copy this line and paste it into the purchasing KPI using </t>
    </r>
    <r>
      <rPr>
        <b/>
        <sz val="12"/>
        <color rgb="FFFF0000"/>
        <rFont val="Arial"/>
        <family val="2"/>
      </rPr>
      <t>CTRL+ALT+V</t>
    </r>
    <r>
      <rPr>
        <b/>
        <sz val="12"/>
        <rFont val="Arial"/>
        <family val="2"/>
      </rPr>
      <t xml:space="preserve"> and then paste </t>
    </r>
    <r>
      <rPr>
        <b/>
        <sz val="12"/>
        <color rgb="FFFF0000"/>
        <rFont val="Arial"/>
        <family val="2"/>
      </rPr>
      <t>Values</t>
    </r>
    <r>
      <rPr>
        <b/>
        <sz val="12"/>
        <rFont val="Arial"/>
        <family val="2"/>
      </rPr>
      <t xml:space="preserve"> only</t>
    </r>
  </si>
  <si>
    <t>1.PO
2.PO</t>
  </si>
  <si>
    <t>Approved by:</t>
  </si>
  <si>
    <t>P</t>
  </si>
  <si>
    <t>C</t>
  </si>
  <si>
    <t>F</t>
  </si>
  <si>
    <t>FIN</t>
  </si>
  <si>
    <t>FAR001</t>
  </si>
  <si>
    <t>DIGIKEY</t>
  </si>
  <si>
    <t>MPN or SPN Check</t>
  </si>
  <si>
    <t>False Match</t>
  </si>
  <si>
    <t>Exact</t>
  </si>
  <si>
    <t>Order More</t>
  </si>
  <si>
    <t>SPN</t>
  </si>
  <si>
    <t>Basket Check</t>
  </si>
  <si>
    <t>Price</t>
  </si>
  <si>
    <t>Purchasing Notes</t>
  </si>
  <si>
    <t>Check Date</t>
  </si>
  <si>
    <t>User Check</t>
  </si>
  <si>
    <t>Desc</t>
  </si>
  <si>
    <t>FI</t>
  </si>
  <si>
    <r>
      <t>Overa</t>
    </r>
    <r>
      <rPr>
        <sz val="10"/>
        <rFont val="Arial"/>
      </rPr>
      <t>ll</t>
    </r>
  </si>
  <si>
    <t>Check Data</t>
  </si>
  <si>
    <t>Quote Price</t>
  </si>
  <si>
    <t>Difference</t>
  </si>
  <si>
    <t>Unit</t>
  </si>
  <si>
    <t>Unit+-</t>
  </si>
  <si>
    <t>Total+-</t>
  </si>
  <si>
    <t>Qty/Unit</t>
  </si>
  <si>
    <t>Part Number Description</t>
  </si>
  <si>
    <t>Delivery Date</t>
  </si>
  <si>
    <t>Ext Price</t>
  </si>
  <si>
    <t>VAT</t>
  </si>
  <si>
    <t>Delivery Charge</t>
  </si>
  <si>
    <t>Total(PO)</t>
  </si>
  <si>
    <t>Total(Basket)</t>
  </si>
  <si>
    <t>ASAP</t>
  </si>
  <si>
    <t>Suppliers</t>
  </si>
  <si>
    <t>Count</t>
  </si>
  <si>
    <t>KIT Check</t>
  </si>
  <si>
    <t>Qty Rec'd</t>
  </si>
  <si>
    <t>Checked by:</t>
  </si>
  <si>
    <t>EAS22314</t>
  </si>
  <si>
    <t>XGL4040-102MEC</t>
  </si>
  <si>
    <t>Coilcraft</t>
  </si>
  <si>
    <t>XGL4040-332MEC</t>
  </si>
  <si>
    <t>Exact!</t>
  </si>
  <si>
    <t>ITEM: 1</t>
  </si>
  <si>
    <t>ITEM: 2</t>
  </si>
  <si>
    <t>ITEM: 3</t>
  </si>
  <si>
    <t>ITEM: 4</t>
  </si>
  <si>
    <t>ITEM: 5</t>
  </si>
  <si>
    <t>ITEM: 7</t>
  </si>
  <si>
    <t>ITEM: 8</t>
  </si>
  <si>
    <t>ITEM: 12</t>
  </si>
  <si>
    <t>ITEM: 13</t>
  </si>
  <si>
    <t>ITEM: 15</t>
  </si>
  <si>
    <t>ITEM: 16</t>
  </si>
  <si>
    <t>ITEM: 18</t>
  </si>
  <si>
    <t>ITEM: 6</t>
  </si>
  <si>
    <t>ITEM: 14</t>
  </si>
  <si>
    <t>ITEM: 17</t>
  </si>
  <si>
    <t>ITEM: 19</t>
  </si>
  <si>
    <t>Nicomatic</t>
  </si>
  <si>
    <t>E222V12E51</t>
  </si>
  <si>
    <t>RoHS: YES / PHTHALATES: YES</t>
  </si>
  <si>
    <t>MURATA</t>
  </si>
  <si>
    <t>MURATA  SMD Multilayer Ceramic Capacitor, 4.7 ÂµF, 50 V, 0805 [2012 Metric], Â± 10%, X7R, GRM Series</t>
  </si>
  <si>
    <t>MURATA  SMD Multilayer Ceramic Capacitor, 10000 pF, 50 V, 0402 [1005 Metric], Â± 5%, X7R, GRM Series</t>
  </si>
  <si>
    <t>MURATA  SMD Multilayer Ceramic Capacitor, 2.2 ÂµF, 16 V, 0402 [1005 Metric], Â± 20%, X7T, GRM Series</t>
  </si>
  <si>
    <t>KEMET</t>
  </si>
  <si>
    <t>KEMET  SMD Multilayer Ceramic Capacitor, 220 pF, 50 V, 0402 [1005 Metric], Â± 5%, C0G / NP0, C Series KEMET</t>
  </si>
  <si>
    <t>TDK</t>
  </si>
  <si>
    <t>TDK  SMD Multilayer Ceramic Capacitor, 0.1 ÂµF, 50 V, 0402 [1005 Metric], Â± 10%, X7R, C</t>
  </si>
  <si>
    <t>KEMET  SMD Multilayer Ceramic Capacitor, 4.7 pF, 50 V, 0402 [1005 Metric], Â± 0.25pF, C0G / NP0</t>
  </si>
  <si>
    <t>ONSEMI</t>
  </si>
  <si>
    <t>ONSEMI  Zener Single Diode, 10 V, 500 mW, SOD-123, 2 Pins, 150 Â°C, Surface Mount</t>
  </si>
  <si>
    <t>DIODES INC.</t>
  </si>
  <si>
    <t>DIODES INC.  Power MOSFET, P Channel, 40 V, 10.3 A, 0.0094 ohm, PowerDI 3333, Surface Mount</t>
  </si>
  <si>
    <t>RoHS: Y-EX / PHTHALATES: YES</t>
  </si>
  <si>
    <t>VISHAY</t>
  </si>
  <si>
    <t>VISHAY  SMD Chip Resistor, 15 kohm, Â± 1%, 62.5 mW, 0402 [1005 Metric], Thick Film, General Purpose</t>
  </si>
  <si>
    <t>VISHAY  SMD Chip Resistor, 3.3 kohm, Â± 1%, 100 mW, 0603 [1608 Metric], Thick Film, General Purpose</t>
  </si>
  <si>
    <t>PANASONIC</t>
  </si>
  <si>
    <t>PANASONIC  SMD Chip Resistor, 53.6 kohm, Â± 0.1%, 62.5 mW, 0402 [1005 Metric], Metal Film (Thin Film)</t>
  </si>
  <si>
    <t>TE CONNECTIVITY</t>
  </si>
  <si>
    <t>TE CONNECTIVITY  SMD Chip Resistor, 10 kohm, Â± 0.1%, 100 mW, 0402 [1005 Metric], Thin Film, High Power</t>
  </si>
  <si>
    <t>Sub Total</t>
  </si>
  <si>
    <t>Goods Total</t>
  </si>
  <si>
    <t>CAP CER 22UF 16V X7R 1206</t>
  </si>
  <si>
    <t>RES 140K OHM 0.1% 1/10W 0402</t>
  </si>
  <si>
    <t>RES SMD 10.2KOHM 0.1% 1/16W 0402</t>
  </si>
  <si>
    <t>2X CH 4A, 42V, SYNC BUCK SILENT</t>
  </si>
  <si>
    <t>These MPNs are in the BOM but not the Basket</t>
  </si>
  <si>
    <t>These MPNs are in the Basket but not the BOM</t>
  </si>
  <si>
    <t>=R4C10</t>
  </si>
  <si>
    <t>1.PO082537 EAS22314
2.PO</t>
  </si>
  <si>
    <t>1.PO082538 EAS22314
2.PO</t>
  </si>
  <si>
    <t>1.PO082540 EAS22314
2.PO</t>
  </si>
  <si>
    <t>1.PO082539 EAS22314
2.PO</t>
  </si>
  <si>
    <t>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</si>
</sst>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&quot;£&quot;#,##0.00"/>
    <numFmt numFmtId="166" formatCode="0.0%"/>
    <numFmt numFmtId="167" formatCode="\£#,##0.00"/>
  </numFmts>
  <fonts count="3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9"/>
      <name val="MS Sans Serif"/>
      <family val="2"/>
    </font>
    <font>
      <b/>
      <sz val="10"/>
      <color rgb="FFFF0000"/>
      <name val="Arial"/>
      <family val="2"/>
    </font>
    <font>
      <b/>
      <sz val="2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4"/>
      <name val="Arial"/>
      <family val="2"/>
    </font>
    <font>
      <sz val="16"/>
      <name val="Arial"/>
      <family val="2"/>
    </font>
    <font>
      <sz val="11"/>
      <name val="Arial"/>
      <family val="2"/>
    </font>
    <font>
      <sz val="48"/>
      <name val="Arial"/>
      <family val="2"/>
    </font>
    <font>
      <b/>
      <sz val="48"/>
      <name val="Arial"/>
      <family val="2"/>
    </font>
    <font>
      <sz val="26"/>
      <name val="Arial"/>
      <family val="2"/>
    </font>
    <font>
      <sz val="20"/>
      <name val="Arial"/>
      <family val="2"/>
    </font>
    <font>
      <sz val="22"/>
      <name val="Arial"/>
      <family val="2"/>
    </font>
    <font>
      <b/>
      <sz val="22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36"/>
      <name val="Arial"/>
      <family val="2"/>
    </font>
    <font>
      <sz val="28"/>
      <name val="Arial"/>
      <family val="2"/>
    </font>
    <font>
      <sz val="60"/>
      <name val="Arial"/>
      <family val="2"/>
    </font>
    <font>
      <b/>
      <sz val="26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12"/>
      <color rgb="FFFF0000"/>
      <name val="Arial"/>
      <family val="2"/>
    </font>
    <font>
      <sz val="10"/>
      <name val="Wingdings 2"/>
      <family val="1"/>
      <charset val="2"/>
    </font>
    <font>
      <b/>
      <sz val="10"/>
      <name val="Wingdings 2"/>
      <family val="1"/>
      <charset val="2"/>
    </font>
    <font>
      <sz val="11"/>
      <name val="Calibri"/>
      <family val="2"/>
    </font>
    <font>
      <sz val="10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lightDown"/>
    </fill>
    <fill>
      <patternFill patternType="solid">
        <fgColor indexed="6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lightGray">
        <fgColor theme="3" tint="0.79995117038483843"/>
        <bgColor indexed="65"/>
      </patternFill>
    </fill>
    <fill>
      <patternFill patternType="gray125">
        <fgColor theme="3" tint="0.79995117038483843"/>
        <bgColor indexed="65"/>
      </patternFill>
    </fill>
    <fill>
      <patternFill patternType="gray125">
        <fgColor theme="3" tint="0.79992065187536243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lightGray">
        <fgColor theme="3" tint="0.79995117038483843"/>
        <bgColor theme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112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9"/>
      </right>
      <top/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9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medium">
        <color indexed="64"/>
      </left>
      <right/>
      <top style="thin">
        <color indexed="9"/>
      </top>
      <bottom style="thin">
        <color indexed="9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9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/>
      <diagonal/>
    </border>
    <border>
      <left style="medium">
        <color indexed="64"/>
      </left>
      <right/>
      <top/>
      <bottom style="thin">
        <color indexed="9"/>
      </bottom>
      <diagonal/>
    </border>
    <border>
      <left/>
      <right style="thin">
        <color indexed="64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 style="thin">
        <color indexed="64"/>
      </left>
      <right/>
      <top/>
      <bottom style="thin">
        <color indexed="9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</borders>
  <cellStyleXfs count="2">
    <xf numFmtId="0" fontId="0" fillId="0" borderId="0"/>
    <xf numFmtId="0" fontId="32" fillId="0" borderId="0"/>
  </cellStyleXfs>
  <cellXfs count="443">
    <xf numFmtId="0" fontId="0" fillId="0" borderId="0" xfId="0"/>
    <xf numFmtId="0" fontId="2" fillId="0" borderId="0" xfId="0" applyFont="1"/>
    <xf numFmtId="0" fontId="0" fillId="0" borderId="9" xfId="0" applyBorder="1"/>
    <xf numFmtId="49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8" fillId="5" borderId="0" xfId="0" applyFont="1" applyFill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top"/>
    </xf>
    <xf numFmtId="0" fontId="0" fillId="0" borderId="63" xfId="0" applyBorder="1" applyAlignment="1">
      <alignment horizontal="center" vertical="top"/>
    </xf>
    <xf numFmtId="0" fontId="1" fillId="10" borderId="30" xfId="0" applyFont="1" applyFill="1" applyBorder="1" applyAlignment="1">
      <alignment horizontal="center" vertical="top"/>
    </xf>
    <xf numFmtId="0" fontId="1" fillId="10" borderId="67" xfId="0" applyFont="1" applyFill="1" applyBorder="1" applyAlignment="1">
      <alignment horizontal="center" vertical="top"/>
    </xf>
    <xf numFmtId="0" fontId="1" fillId="10" borderId="29" xfId="0" applyFont="1" applyFill="1" applyBorder="1" applyAlignment="1">
      <alignment horizontal="center" vertical="top"/>
    </xf>
    <xf numFmtId="0" fontId="1" fillId="10" borderId="60" xfId="0" applyFont="1" applyFill="1" applyBorder="1" applyAlignment="1">
      <alignment horizontal="center" vertical="center"/>
    </xf>
    <xf numFmtId="0" fontId="1" fillId="0" borderId="68" xfId="0" applyFont="1" applyBorder="1" applyAlignment="1">
      <alignment horizontal="center" vertical="center"/>
    </xf>
    <xf numFmtId="0" fontId="0" fillId="0" borderId="16" xfId="0" applyBorder="1" applyAlignment="1">
      <alignment horizontal="center" vertical="top"/>
    </xf>
    <xf numFmtId="0" fontId="0" fillId="0" borderId="9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14" fontId="0" fillId="0" borderId="66" xfId="0" applyNumberFormat="1" applyBorder="1" applyAlignment="1">
      <alignment horizontal="center" vertical="top"/>
    </xf>
    <xf numFmtId="14" fontId="0" fillId="0" borderId="14" xfId="0" applyNumberFormat="1" applyBorder="1" applyAlignment="1">
      <alignment horizontal="center" vertical="top"/>
    </xf>
    <xf numFmtId="14" fontId="0" fillId="0" borderId="17" xfId="0" applyNumberFormat="1" applyBorder="1" applyAlignment="1">
      <alignment horizontal="center" vertical="top"/>
    </xf>
    <xf numFmtId="0" fontId="0" fillId="0" borderId="63" xfId="0" applyBorder="1" applyAlignment="1">
      <alignment horizontal="left" vertical="top" wrapText="1"/>
    </xf>
    <xf numFmtId="0" fontId="1" fillId="0" borderId="65" xfId="0" applyFont="1" applyBorder="1" applyAlignment="1">
      <alignment horizontal="center" vertical="top"/>
    </xf>
    <xf numFmtId="0" fontId="1" fillId="0" borderId="13" xfId="0" applyFont="1" applyBorder="1" applyAlignment="1">
      <alignment horizontal="center" vertical="top"/>
    </xf>
    <xf numFmtId="0" fontId="1" fillId="0" borderId="15" xfId="0" applyFont="1" applyBorder="1" applyAlignment="1">
      <alignment horizontal="center" vertical="top"/>
    </xf>
    <xf numFmtId="0" fontId="2" fillId="0" borderId="0" xfId="0" applyFon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49" fontId="4" fillId="2" borderId="9" xfId="0" applyNumberFormat="1" applyFont="1" applyFill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49" fontId="4" fillId="2" borderId="13" xfId="0" applyNumberFormat="1" applyFont="1" applyFill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/>
    </xf>
    <xf numFmtId="49" fontId="4" fillId="2" borderId="70" xfId="0" applyNumberFormat="1" applyFont="1" applyFill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 wrapText="1"/>
    </xf>
    <xf numFmtId="1" fontId="0" fillId="0" borderId="9" xfId="0" applyNumberFormat="1" applyBorder="1" applyAlignment="1">
      <alignment horizontal="center" vertical="center" wrapText="1"/>
    </xf>
    <xf numFmtId="164" fontId="0" fillId="0" borderId="9" xfId="0" applyNumberFormat="1" applyBorder="1" applyAlignment="1">
      <alignment horizontal="center" vertical="center" wrapText="1"/>
    </xf>
    <xf numFmtId="2" fontId="0" fillId="0" borderId="9" xfId="0" applyNumberFormat="1" applyBorder="1" applyAlignment="1">
      <alignment horizontal="center" vertical="center" wrapText="1"/>
    </xf>
    <xf numFmtId="49" fontId="4" fillId="2" borderId="11" xfId="0" applyNumberFormat="1" applyFont="1" applyFill="1" applyBorder="1" applyAlignment="1">
      <alignment horizontal="center" vertical="center"/>
    </xf>
    <xf numFmtId="1" fontId="4" fillId="2" borderId="11" xfId="0" applyNumberFormat="1" applyFont="1" applyFill="1" applyBorder="1" applyAlignment="1">
      <alignment horizontal="center" vertical="center"/>
    </xf>
    <xf numFmtId="164" fontId="4" fillId="2" borderId="11" xfId="0" applyNumberFormat="1" applyFont="1" applyFill="1" applyBorder="1" applyAlignment="1">
      <alignment horizontal="center" vertical="center"/>
    </xf>
    <xf numFmtId="2" fontId="4" fillId="2" borderId="11" xfId="0" applyNumberFormat="1" applyFont="1" applyFill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 wrapText="1"/>
    </xf>
    <xf numFmtId="1" fontId="0" fillId="0" borderId="16" xfId="0" applyNumberFormat="1" applyBorder="1" applyAlignment="1">
      <alignment horizontal="center" vertical="center" wrapText="1"/>
    </xf>
    <xf numFmtId="164" fontId="0" fillId="0" borderId="16" xfId="0" applyNumberFormat="1" applyBorder="1" applyAlignment="1">
      <alignment horizontal="center" vertical="center" wrapText="1"/>
    </xf>
    <xf numFmtId="2" fontId="0" fillId="0" borderId="16" xfId="0" applyNumberFormat="1" applyBorder="1" applyAlignment="1">
      <alignment horizontal="center" vertical="center" wrapText="1"/>
    </xf>
    <xf numFmtId="49" fontId="4" fillId="2" borderId="71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9" xfId="0" applyBorder="1" applyAlignment="1">
      <alignment horizontal="left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16" xfId="0" applyBorder="1" applyAlignment="1">
      <alignment horizontal="left" vertical="center" wrapText="1"/>
    </xf>
    <xf numFmtId="49" fontId="4" fillId="2" borderId="35" xfId="0" applyNumberFormat="1" applyFont="1" applyFill="1" applyBorder="1" applyAlignment="1">
      <alignment horizontal="center" vertical="center"/>
    </xf>
    <xf numFmtId="0" fontId="1" fillId="0" borderId="81" xfId="0" applyFont="1" applyBorder="1" applyAlignment="1">
      <alignment horizontal="center" vertical="center"/>
    </xf>
    <xf numFmtId="0" fontId="26" fillId="10" borderId="90" xfId="0" applyFont="1" applyFill="1" applyBorder="1" applyAlignment="1">
      <alignment horizontal="right" vertical="center"/>
    </xf>
    <xf numFmtId="49" fontId="17" fillId="10" borderId="109" xfId="0" applyNumberFormat="1" applyFont="1" applyFill="1" applyBorder="1" applyAlignment="1">
      <alignment horizontal="center" vertical="center"/>
    </xf>
    <xf numFmtId="14" fontId="27" fillId="0" borderId="87" xfId="0" applyNumberFormat="1" applyFont="1" applyBorder="1" applyAlignment="1">
      <alignment horizontal="center" vertical="center"/>
    </xf>
    <xf numFmtId="49" fontId="27" fillId="0" borderId="64" xfId="0" applyNumberFormat="1" applyFont="1" applyBorder="1" applyAlignment="1">
      <alignment horizontal="center" vertical="center"/>
    </xf>
    <xf numFmtId="0" fontId="27" fillId="0" borderId="64" xfId="0" applyFont="1" applyBorder="1" applyAlignment="1">
      <alignment horizontal="center" vertical="center"/>
    </xf>
    <xf numFmtId="165" fontId="27" fillId="0" borderId="64" xfId="0" applyNumberFormat="1" applyFont="1" applyBorder="1" applyAlignment="1">
      <alignment horizontal="center" vertical="center"/>
    </xf>
    <xf numFmtId="165" fontId="27" fillId="0" borderId="93" xfId="0" applyNumberFormat="1" applyFont="1" applyBorder="1" applyAlignment="1">
      <alignment horizontal="center" vertical="center"/>
    </xf>
    <xf numFmtId="0" fontId="22" fillId="10" borderId="88" xfId="0" applyFont="1" applyFill="1" applyBorder="1" applyAlignment="1">
      <alignment horizontal="center" vertical="center"/>
    </xf>
    <xf numFmtId="0" fontId="22" fillId="10" borderId="89" xfId="0" applyFont="1" applyFill="1" applyBorder="1" applyAlignment="1">
      <alignment horizontal="center" vertical="center"/>
    </xf>
    <xf numFmtId="0" fontId="22" fillId="10" borderId="92" xfId="0" applyFont="1" applyFill="1" applyBorder="1" applyAlignment="1">
      <alignment horizontal="center" vertical="center" wrapText="1"/>
    </xf>
    <xf numFmtId="0" fontId="1" fillId="0" borderId="80" xfId="0" applyFont="1" applyBorder="1" applyAlignment="1">
      <alignment horizontal="center" vertical="center" wrapText="1"/>
    </xf>
    <xf numFmtId="0" fontId="28" fillId="17" borderId="28" xfId="0" applyFont="1" applyFill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0" fontId="28" fillId="17" borderId="19" xfId="0" applyFont="1" applyFill="1" applyBorder="1" applyAlignment="1">
      <alignment horizontal="center" vertical="center"/>
    </xf>
    <xf numFmtId="0" fontId="28" fillId="0" borderId="104" xfId="0" applyFont="1" applyBorder="1" applyAlignment="1">
      <alignment horizontal="center" vertical="center"/>
    </xf>
    <xf numFmtId="0" fontId="28" fillId="17" borderId="73" xfId="0" applyFont="1" applyFill="1" applyBorder="1" applyAlignment="1">
      <alignment horizontal="center" vertical="center"/>
    </xf>
    <xf numFmtId="0" fontId="28" fillId="17" borderId="74" xfId="0" applyFont="1" applyFill="1" applyBorder="1" applyAlignment="1">
      <alignment horizontal="center" vertical="center"/>
    </xf>
    <xf numFmtId="0" fontId="28" fillId="17" borderId="84" xfId="0" applyFont="1" applyFill="1" applyBorder="1" applyAlignment="1">
      <alignment horizontal="center" vertical="center"/>
    </xf>
    <xf numFmtId="165" fontId="20" fillId="0" borderId="61" xfId="0" applyNumberFormat="1" applyFont="1" applyBorder="1" applyAlignment="1">
      <alignment horizontal="center" vertical="center"/>
    </xf>
    <xf numFmtId="165" fontId="20" fillId="0" borderId="72" xfId="0" applyNumberFormat="1" applyFont="1" applyBorder="1" applyAlignment="1">
      <alignment horizontal="center" vertical="center"/>
    </xf>
    <xf numFmtId="165" fontId="20" fillId="0" borderId="45" xfId="0" applyNumberFormat="1" applyFont="1" applyBorder="1" applyAlignment="1">
      <alignment horizontal="center" vertical="center"/>
    </xf>
    <xf numFmtId="165" fontId="20" fillId="0" borderId="86" xfId="0" applyNumberFormat="1" applyFont="1" applyBorder="1" applyAlignment="1">
      <alignment horizontal="center" vertical="center"/>
    </xf>
    <xf numFmtId="165" fontId="20" fillId="0" borderId="80" xfId="0" applyNumberFormat="1" applyFont="1" applyBorder="1" applyAlignment="1">
      <alignment horizontal="center" vertical="center"/>
    </xf>
    <xf numFmtId="165" fontId="20" fillId="0" borderId="81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6" borderId="83" xfId="0" applyFont="1" applyFill="1" applyBorder="1" applyAlignment="1">
      <alignment horizontal="center" vertical="center"/>
    </xf>
    <xf numFmtId="0" fontId="20" fillId="6" borderId="28" xfId="0" applyFont="1" applyFill="1" applyBorder="1" applyAlignment="1">
      <alignment horizontal="center" vertical="center"/>
    </xf>
    <xf numFmtId="0" fontId="20" fillId="6" borderId="85" xfId="0" applyFont="1" applyFill="1" applyBorder="1" applyAlignment="1">
      <alignment horizontal="center" vertical="center" wrapText="1"/>
    </xf>
    <xf numFmtId="0" fontId="1" fillId="18" borderId="0" xfId="0" applyFont="1" applyFill="1" applyAlignment="1">
      <alignment horizontal="center" vertical="center"/>
    </xf>
    <xf numFmtId="0" fontId="20" fillId="18" borderId="0" xfId="0" applyFont="1" applyFill="1" applyAlignment="1">
      <alignment horizontal="center" vertical="center"/>
    </xf>
    <xf numFmtId="0" fontId="1" fillId="0" borderId="86" xfId="0" applyFont="1" applyBorder="1" applyAlignment="1">
      <alignment horizontal="center" vertical="center" wrapText="1"/>
    </xf>
    <xf numFmtId="0" fontId="20" fillId="6" borderId="19" xfId="0" applyFont="1" applyFill="1" applyBorder="1" applyAlignment="1">
      <alignment horizontal="center" vertical="center"/>
    </xf>
    <xf numFmtId="0" fontId="0" fillId="0" borderId="36" xfId="0" applyBorder="1" applyAlignment="1">
      <alignment horizontal="left" vertical="center" wrapText="1"/>
    </xf>
    <xf numFmtId="0" fontId="31" fillId="0" borderId="9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5" xfId="0" applyFont="1" applyBorder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49" fontId="4" fillId="2" borderId="14" xfId="0" applyNumberFormat="1" applyFont="1" applyFill="1" applyBorder="1" applyAlignment="1">
      <alignment horizontal="center" vertical="center"/>
    </xf>
    <xf numFmtId="49" fontId="4" fillId="2" borderId="36" xfId="0" applyNumberFormat="1" applyFont="1" applyFill="1" applyBorder="1" applyAlignment="1">
      <alignment horizontal="center" vertical="center"/>
    </xf>
    <xf numFmtId="0" fontId="31" fillId="0" borderId="36" xfId="0" applyFont="1" applyBorder="1" applyAlignment="1">
      <alignment horizontal="center" vertical="center"/>
    </xf>
    <xf numFmtId="0" fontId="31" fillId="0" borderId="37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1" fontId="0" fillId="0" borderId="16" xfId="0" applyNumberFormat="1" applyBorder="1" applyAlignment="1">
      <alignment horizontal="center" vertical="center"/>
    </xf>
    <xf numFmtId="0" fontId="30" fillId="0" borderId="36" xfId="0" applyFont="1" applyBorder="1" applyAlignment="1">
      <alignment horizontal="center" vertical="center"/>
    </xf>
    <xf numFmtId="0" fontId="30" fillId="0" borderId="37" xfId="0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164" fontId="0" fillId="0" borderId="9" xfId="0" applyNumberFormat="1" applyBorder="1" applyAlignment="1">
      <alignment horizontal="center" vertical="center"/>
    </xf>
    <xf numFmtId="0" fontId="8" fillId="16" borderId="9" xfId="0" applyFont="1" applyFill="1" applyBorder="1" applyAlignment="1">
      <alignment horizontal="center" vertical="center"/>
    </xf>
    <xf numFmtId="0" fontId="7" fillId="19" borderId="9" xfId="0" applyFont="1" applyFill="1" applyBorder="1" applyAlignment="1">
      <alignment horizontal="left" vertical="center"/>
    </xf>
    <xf numFmtId="167" fontId="0" fillId="0" borderId="9" xfId="0" applyNumberFormat="1" applyBorder="1" applyAlignment="1">
      <alignment horizontal="center" vertical="center"/>
    </xf>
    <xf numFmtId="167" fontId="0" fillId="0" borderId="62" xfId="0" applyNumberFormat="1" applyBorder="1" applyAlignment="1">
      <alignment horizontal="center" vertical="center"/>
    </xf>
    <xf numFmtId="0" fontId="8" fillId="16" borderId="50" xfId="0" applyFont="1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2" fillId="0" borderId="9" xfId="0" applyFont="1" applyBorder="1" applyAlignment="1">
      <alignment horizontal="left" vertical="center" wrapText="1"/>
    </xf>
    <xf numFmtId="49" fontId="2" fillId="0" borderId="9" xfId="0" applyNumberFormat="1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49" fontId="2" fillId="0" borderId="16" xfId="0" applyNumberFormat="1" applyFont="1" applyBorder="1" applyAlignment="1">
      <alignment horizontal="center" vertical="center" wrapText="1"/>
    </xf>
    <xf numFmtId="0" fontId="2" fillId="0" borderId="37" xfId="0" applyFont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0" fontId="32" fillId="0" borderId="0" xfId="1"/>
    <xf numFmtId="1" fontId="32" fillId="0" borderId="0" xfId="1" applyNumberFormat="1"/>
    <xf numFmtId="2" fontId="32" fillId="0" borderId="0" xfId="1" applyNumberFormat="1"/>
    <xf numFmtId="49" fontId="2" fillId="0" borderId="13" xfId="0" applyNumberFormat="1" applyFont="1" applyBorder="1" applyAlignment="1">
      <alignment horizontal="center" vertical="center"/>
    </xf>
    <xf numFmtId="0" fontId="20" fillId="7" borderId="6" xfId="0" applyFont="1" applyFill="1" applyBorder="1" applyAlignment="1">
      <alignment horizontal="center" vertical="center"/>
    </xf>
    <xf numFmtId="0" fontId="20" fillId="7" borderId="44" xfId="0" applyFont="1" applyFill="1" applyBorder="1" applyAlignment="1">
      <alignment horizontal="center" vertical="center"/>
    </xf>
    <xf numFmtId="0" fontId="20" fillId="7" borderId="8" xfId="0" applyFont="1" applyFill="1" applyBorder="1" applyAlignment="1">
      <alignment horizontal="center" vertical="center"/>
    </xf>
    <xf numFmtId="0" fontId="20" fillId="7" borderId="47" xfId="0" applyFont="1" applyFill="1" applyBorder="1" applyAlignment="1">
      <alignment horizontal="center" vertical="center"/>
    </xf>
    <xf numFmtId="0" fontId="20" fillId="7" borderId="48" xfId="0" applyFont="1" applyFill="1" applyBorder="1" applyAlignment="1">
      <alignment horizontal="center" vertical="center"/>
    </xf>
    <xf numFmtId="0" fontId="20" fillId="7" borderId="40" xfId="0" applyFont="1" applyFill="1" applyBorder="1" applyAlignment="1">
      <alignment horizontal="center" vertical="center"/>
    </xf>
    <xf numFmtId="0" fontId="21" fillId="7" borderId="7" xfId="0" applyFont="1" applyFill="1" applyBorder="1" applyAlignment="1">
      <alignment horizontal="center" vertical="center" wrapText="1"/>
    </xf>
    <xf numFmtId="0" fontId="21" fillId="7" borderId="69" xfId="0" applyFont="1" applyFill="1" applyBorder="1" applyAlignment="1">
      <alignment horizontal="center" vertical="center" wrapText="1"/>
    </xf>
    <xf numFmtId="0" fontId="21" fillId="7" borderId="59" xfId="0" applyFont="1" applyFill="1" applyBorder="1" applyAlignment="1">
      <alignment horizontal="center" vertical="center" wrapText="1"/>
    </xf>
    <xf numFmtId="0" fontId="21" fillId="7" borderId="7" xfId="0" applyFont="1" applyFill="1" applyBorder="1" applyAlignment="1">
      <alignment horizontal="center" vertical="center"/>
    </xf>
    <xf numFmtId="0" fontId="21" fillId="7" borderId="69" xfId="0" applyFont="1" applyFill="1" applyBorder="1" applyAlignment="1">
      <alignment horizontal="center" vertical="center"/>
    </xf>
    <xf numFmtId="0" fontId="21" fillId="7" borderId="59" xfId="0" applyFont="1" applyFill="1" applyBorder="1" applyAlignment="1">
      <alignment horizontal="center" vertical="center"/>
    </xf>
    <xf numFmtId="0" fontId="15" fillId="4" borderId="7" xfId="0" applyFont="1" applyFill="1" applyBorder="1" applyAlignment="1">
      <alignment horizontal="center" vertical="center"/>
    </xf>
    <xf numFmtId="0" fontId="15" fillId="4" borderId="69" xfId="0" applyFont="1" applyFill="1" applyBorder="1" applyAlignment="1">
      <alignment horizontal="center" vertical="center"/>
    </xf>
    <xf numFmtId="0" fontId="15" fillId="4" borderId="59" xfId="0" applyFont="1" applyFill="1" applyBorder="1" applyAlignment="1">
      <alignment horizontal="center" vertical="center"/>
    </xf>
    <xf numFmtId="166" fontId="9" fillId="4" borderId="7" xfId="0" applyNumberFormat="1" applyFont="1" applyFill="1" applyBorder="1" applyAlignment="1">
      <alignment horizontal="center" vertical="center"/>
    </xf>
    <xf numFmtId="166" fontId="9" fillId="4" borderId="69" xfId="0" applyNumberFormat="1" applyFont="1" applyFill="1" applyBorder="1" applyAlignment="1">
      <alignment horizontal="center" vertical="center"/>
    </xf>
    <xf numFmtId="166" fontId="9" fillId="4" borderId="59" xfId="0" applyNumberFormat="1" applyFont="1" applyFill="1" applyBorder="1" applyAlignment="1">
      <alignment horizontal="center" vertical="center"/>
    </xf>
    <xf numFmtId="165" fontId="22" fillId="4" borderId="6" xfId="0" applyNumberFormat="1" applyFont="1" applyFill="1" applyBorder="1" applyAlignment="1">
      <alignment horizontal="center" vertical="center"/>
    </xf>
    <xf numFmtId="165" fontId="22" fillId="4" borderId="8" xfId="0" applyNumberFormat="1" applyFont="1" applyFill="1" applyBorder="1" applyAlignment="1">
      <alignment horizontal="center" vertical="center"/>
    </xf>
    <xf numFmtId="165" fontId="22" fillId="4" borderId="47" xfId="0" applyNumberFormat="1" applyFont="1" applyFill="1" applyBorder="1" applyAlignment="1">
      <alignment horizontal="center" vertical="center"/>
    </xf>
    <xf numFmtId="165" fontId="22" fillId="4" borderId="40" xfId="0" applyNumberFormat="1" applyFont="1" applyFill="1" applyBorder="1" applyAlignment="1">
      <alignment horizontal="center" vertical="center"/>
    </xf>
    <xf numFmtId="0" fontId="9" fillId="7" borderId="6" xfId="0" applyFont="1" applyFill="1" applyBorder="1" applyAlignment="1">
      <alignment horizontal="center" vertical="center"/>
    </xf>
    <xf numFmtId="0" fontId="9" fillId="7" borderId="44" xfId="0" applyFont="1" applyFill="1" applyBorder="1" applyAlignment="1">
      <alignment horizontal="center" vertical="center"/>
    </xf>
    <xf numFmtId="0" fontId="9" fillId="7" borderId="8" xfId="0" applyFont="1" applyFill="1" applyBorder="1" applyAlignment="1">
      <alignment horizontal="center" vertical="center"/>
    </xf>
    <xf numFmtId="0" fontId="9" fillId="7" borderId="47" xfId="0" applyFont="1" applyFill="1" applyBorder="1" applyAlignment="1">
      <alignment horizontal="center" vertical="center"/>
    </xf>
    <xf numFmtId="0" fontId="9" fillId="7" borderId="48" xfId="0" applyFont="1" applyFill="1" applyBorder="1" applyAlignment="1">
      <alignment horizontal="center" vertical="center"/>
    </xf>
    <xf numFmtId="0" fontId="9" fillId="7" borderId="40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horizontal="center" vertical="center"/>
    </xf>
    <xf numFmtId="0" fontId="10" fillId="6" borderId="44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47" xfId="0" applyFont="1" applyFill="1" applyBorder="1" applyAlignment="1">
      <alignment horizontal="center" vertical="center"/>
    </xf>
    <xf numFmtId="0" fontId="10" fillId="6" borderId="48" xfId="0" applyFont="1" applyFill="1" applyBorder="1" applyAlignment="1">
      <alignment horizontal="center" vertical="center"/>
    </xf>
    <xf numFmtId="0" fontId="10" fillId="6" borderId="40" xfId="0" applyFont="1" applyFill="1" applyBorder="1" applyAlignment="1">
      <alignment horizontal="center" vertical="center"/>
    </xf>
    <xf numFmtId="165" fontId="24" fillId="4" borderId="6" xfId="0" applyNumberFormat="1" applyFont="1" applyFill="1" applyBorder="1" applyAlignment="1">
      <alignment horizontal="center" vertical="center"/>
    </xf>
    <xf numFmtId="165" fontId="24" fillId="4" borderId="44" xfId="0" applyNumberFormat="1" applyFont="1" applyFill="1" applyBorder="1" applyAlignment="1">
      <alignment horizontal="center" vertical="center"/>
    </xf>
    <xf numFmtId="165" fontId="24" fillId="4" borderId="8" xfId="0" applyNumberFormat="1" applyFont="1" applyFill="1" applyBorder="1" applyAlignment="1">
      <alignment horizontal="center" vertical="center"/>
    </xf>
    <xf numFmtId="165" fontId="24" fillId="4" borderId="42" xfId="0" applyNumberFormat="1" applyFont="1" applyFill="1" applyBorder="1" applyAlignment="1">
      <alignment horizontal="center" vertical="center"/>
    </xf>
    <xf numFmtId="165" fontId="24" fillId="4" borderId="0" xfId="0" applyNumberFormat="1" applyFont="1" applyFill="1" applyAlignment="1">
      <alignment horizontal="center" vertical="center"/>
    </xf>
    <xf numFmtId="165" fontId="24" fillId="4" borderId="25" xfId="0" applyNumberFormat="1" applyFont="1" applyFill="1" applyBorder="1" applyAlignment="1">
      <alignment horizontal="center" vertical="center"/>
    </xf>
    <xf numFmtId="165" fontId="24" fillId="4" borderId="47" xfId="0" applyNumberFormat="1" applyFont="1" applyFill="1" applyBorder="1" applyAlignment="1">
      <alignment horizontal="center" vertical="center"/>
    </xf>
    <xf numFmtId="165" fontId="24" fillId="4" borderId="48" xfId="0" applyNumberFormat="1" applyFont="1" applyFill="1" applyBorder="1" applyAlignment="1">
      <alignment horizontal="center" vertical="center"/>
    </xf>
    <xf numFmtId="165" fontId="24" fillId="4" borderId="40" xfId="0" applyNumberFormat="1" applyFont="1" applyFill="1" applyBorder="1" applyAlignment="1">
      <alignment horizontal="center" vertical="center"/>
    </xf>
    <xf numFmtId="165" fontId="16" fillId="4" borderId="6" xfId="0" applyNumberFormat="1" applyFont="1" applyFill="1" applyBorder="1" applyAlignment="1">
      <alignment horizontal="center" vertical="center"/>
    </xf>
    <xf numFmtId="165" fontId="16" fillId="4" borderId="44" xfId="0" applyNumberFormat="1" applyFont="1" applyFill="1" applyBorder="1" applyAlignment="1">
      <alignment horizontal="center" vertical="center"/>
    </xf>
    <xf numFmtId="165" fontId="16" fillId="4" borderId="8" xfId="0" applyNumberFormat="1" applyFont="1" applyFill="1" applyBorder="1" applyAlignment="1">
      <alignment horizontal="center" vertical="center"/>
    </xf>
    <xf numFmtId="165" fontId="16" fillId="4" borderId="42" xfId="0" applyNumberFormat="1" applyFont="1" applyFill="1" applyBorder="1" applyAlignment="1">
      <alignment horizontal="center" vertical="center"/>
    </xf>
    <xf numFmtId="165" fontId="16" fillId="4" borderId="0" xfId="0" applyNumberFormat="1" applyFont="1" applyFill="1" applyAlignment="1">
      <alignment horizontal="center" vertical="center"/>
    </xf>
    <xf numFmtId="165" fontId="16" fillId="4" borderId="25" xfId="0" applyNumberFormat="1" applyFont="1" applyFill="1" applyBorder="1" applyAlignment="1">
      <alignment horizontal="center" vertical="center"/>
    </xf>
    <xf numFmtId="165" fontId="16" fillId="4" borderId="47" xfId="0" applyNumberFormat="1" applyFont="1" applyFill="1" applyBorder="1" applyAlignment="1">
      <alignment horizontal="center" vertical="center"/>
    </xf>
    <xf numFmtId="165" fontId="16" fillId="4" borderId="48" xfId="0" applyNumberFormat="1" applyFont="1" applyFill="1" applyBorder="1" applyAlignment="1">
      <alignment horizontal="center" vertical="center"/>
    </xf>
    <xf numFmtId="165" fontId="16" fillId="4" borderId="40" xfId="0" applyNumberFormat="1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/>
    </xf>
    <xf numFmtId="0" fontId="3" fillId="0" borderId="17" xfId="0" applyFont="1" applyBorder="1" applyAlignment="1">
      <alignment horizontal="left" vertical="center"/>
    </xf>
    <xf numFmtId="0" fontId="3" fillId="0" borderId="33" xfId="0" applyFont="1" applyBorder="1" applyAlignment="1">
      <alignment horizontal="left" vertical="center"/>
    </xf>
    <xf numFmtId="49" fontId="10" fillId="9" borderId="62" xfId="0" applyNumberFormat="1" applyFont="1" applyFill="1" applyBorder="1" applyAlignment="1">
      <alignment horizontal="center" vertical="center"/>
    </xf>
    <xf numFmtId="49" fontId="10" fillId="9" borderId="63" xfId="0" applyNumberFormat="1" applyFont="1" applyFill="1" applyBorder="1" applyAlignment="1">
      <alignment horizontal="center" vertical="center"/>
    </xf>
    <xf numFmtId="49" fontId="11" fillId="9" borderId="50" xfId="0" applyNumberFormat="1" applyFont="1" applyFill="1" applyBorder="1" applyAlignment="1">
      <alignment horizontal="center" vertical="center"/>
    </xf>
    <xf numFmtId="49" fontId="11" fillId="9" borderId="43" xfId="0" applyNumberFormat="1" applyFont="1" applyFill="1" applyBorder="1" applyAlignment="1">
      <alignment horizontal="center" vertical="center"/>
    </xf>
    <xf numFmtId="49" fontId="11" fillId="9" borderId="52" xfId="0" applyNumberFormat="1" applyFont="1" applyFill="1" applyBorder="1" applyAlignment="1">
      <alignment horizontal="center" vertical="center"/>
    </xf>
    <xf numFmtId="49" fontId="11" fillId="9" borderId="51" xfId="0" applyNumberFormat="1" applyFont="1" applyFill="1" applyBorder="1" applyAlignment="1">
      <alignment horizontal="center" vertical="center"/>
    </xf>
    <xf numFmtId="49" fontId="11" fillId="9" borderId="46" xfId="0" applyNumberFormat="1" applyFont="1" applyFill="1" applyBorder="1" applyAlignment="1">
      <alignment horizontal="center" vertical="center"/>
    </xf>
    <xf numFmtId="49" fontId="11" fillId="9" borderId="49" xfId="0" applyNumberFormat="1" applyFont="1" applyFill="1" applyBorder="1" applyAlignment="1">
      <alignment horizontal="center" vertical="center"/>
    </xf>
    <xf numFmtId="0" fontId="10" fillId="9" borderId="62" xfId="0" applyFont="1" applyFill="1" applyBorder="1" applyAlignment="1">
      <alignment horizontal="center" vertical="center"/>
    </xf>
    <xf numFmtId="0" fontId="10" fillId="9" borderId="6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32" xfId="0" applyFont="1" applyBorder="1" applyAlignment="1">
      <alignment horizontal="left" vertical="center"/>
    </xf>
    <xf numFmtId="165" fontId="25" fillId="4" borderId="6" xfId="0" applyNumberFormat="1" applyFont="1" applyFill="1" applyBorder="1" applyAlignment="1">
      <alignment horizontal="center" vertical="center"/>
    </xf>
    <xf numFmtId="165" fontId="25" fillId="4" borderId="44" xfId="0" applyNumberFormat="1" applyFont="1" applyFill="1" applyBorder="1" applyAlignment="1">
      <alignment horizontal="center" vertical="center"/>
    </xf>
    <xf numFmtId="165" fontId="25" fillId="4" borderId="8" xfId="0" applyNumberFormat="1" applyFont="1" applyFill="1" applyBorder="1" applyAlignment="1">
      <alignment horizontal="center" vertical="center"/>
    </xf>
    <xf numFmtId="165" fontId="25" fillId="4" borderId="42" xfId="0" applyNumberFormat="1" applyFont="1" applyFill="1" applyBorder="1" applyAlignment="1">
      <alignment horizontal="center" vertical="center"/>
    </xf>
    <xf numFmtId="165" fontId="25" fillId="4" borderId="0" xfId="0" applyNumberFormat="1" applyFont="1" applyFill="1" applyAlignment="1">
      <alignment horizontal="center" vertical="center"/>
    </xf>
    <xf numFmtId="165" fontId="25" fillId="4" borderId="25" xfId="0" applyNumberFormat="1" applyFont="1" applyFill="1" applyBorder="1" applyAlignment="1">
      <alignment horizontal="center" vertical="center"/>
    </xf>
    <xf numFmtId="165" fontId="25" fillId="4" borderId="47" xfId="0" applyNumberFormat="1" applyFont="1" applyFill="1" applyBorder="1" applyAlignment="1">
      <alignment horizontal="center" vertical="center"/>
    </xf>
    <xf numFmtId="165" fontId="25" fillId="4" borderId="48" xfId="0" applyNumberFormat="1" applyFont="1" applyFill="1" applyBorder="1" applyAlignment="1">
      <alignment horizontal="center" vertical="center"/>
    </xf>
    <xf numFmtId="165" fontId="25" fillId="4" borderId="40" xfId="0" applyNumberFormat="1" applyFont="1" applyFill="1" applyBorder="1" applyAlignment="1">
      <alignment horizontal="center" vertical="center"/>
    </xf>
    <xf numFmtId="166" fontId="23" fillId="4" borderId="6" xfId="0" applyNumberFormat="1" applyFont="1" applyFill="1" applyBorder="1" applyAlignment="1">
      <alignment horizontal="center" vertical="center"/>
    </xf>
    <xf numFmtId="166" fontId="23" fillId="4" borderId="44" xfId="0" applyNumberFormat="1" applyFont="1" applyFill="1" applyBorder="1" applyAlignment="1">
      <alignment horizontal="center" vertical="center"/>
    </xf>
    <xf numFmtId="166" fontId="23" fillId="4" borderId="8" xfId="0" applyNumberFormat="1" applyFont="1" applyFill="1" applyBorder="1" applyAlignment="1">
      <alignment horizontal="center" vertical="center"/>
    </xf>
    <xf numFmtId="166" fontId="23" fillId="4" borderId="42" xfId="0" applyNumberFormat="1" applyFont="1" applyFill="1" applyBorder="1" applyAlignment="1">
      <alignment horizontal="center" vertical="center"/>
    </xf>
    <xf numFmtId="166" fontId="23" fillId="4" borderId="0" xfId="0" applyNumberFormat="1" applyFont="1" applyFill="1" applyAlignment="1">
      <alignment horizontal="center" vertical="center"/>
    </xf>
    <xf numFmtId="166" fontId="23" fillId="4" borderId="25" xfId="0" applyNumberFormat="1" applyFont="1" applyFill="1" applyBorder="1" applyAlignment="1">
      <alignment horizontal="center" vertical="center"/>
    </xf>
    <xf numFmtId="166" fontId="23" fillId="4" borderId="47" xfId="0" applyNumberFormat="1" applyFont="1" applyFill="1" applyBorder="1" applyAlignment="1">
      <alignment horizontal="center" vertical="center"/>
    </xf>
    <xf numFmtId="166" fontId="23" fillId="4" borderId="48" xfId="0" applyNumberFormat="1" applyFont="1" applyFill="1" applyBorder="1" applyAlignment="1">
      <alignment horizontal="center" vertical="center"/>
    </xf>
    <xf numFmtId="166" fontId="23" fillId="4" borderId="40" xfId="0" applyNumberFormat="1" applyFont="1" applyFill="1" applyBorder="1" applyAlignment="1">
      <alignment horizontal="center" vertical="center"/>
    </xf>
    <xf numFmtId="0" fontId="3" fillId="3" borderId="44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3" fillId="3" borderId="48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7" xfId="0" applyFont="1" applyFill="1" applyBorder="1" applyAlignment="1">
      <alignment horizontal="center" vertical="center"/>
    </xf>
    <xf numFmtId="0" fontId="10" fillId="6" borderId="42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0" fillId="6" borderId="25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1" xfId="0" applyFont="1" applyFill="1" applyBorder="1" applyAlignment="1">
      <alignment horizontal="center" vertical="center"/>
    </xf>
    <xf numFmtId="0" fontId="2" fillId="11" borderId="35" xfId="0" applyFont="1" applyFill="1" applyBorder="1" applyAlignment="1">
      <alignment horizontal="center" vertical="center"/>
    </xf>
    <xf numFmtId="0" fontId="2" fillId="12" borderId="13" xfId="0" applyFont="1" applyFill="1" applyBorder="1" applyAlignment="1">
      <alignment horizontal="center" vertical="center"/>
    </xf>
    <xf numFmtId="0" fontId="2" fillId="12" borderId="9" xfId="0" applyFont="1" applyFill="1" applyBorder="1" applyAlignment="1">
      <alignment horizontal="center" vertical="center"/>
    </xf>
    <xf numFmtId="0" fontId="2" fillId="12" borderId="36" xfId="0" applyFont="1" applyFill="1" applyBorder="1" applyAlignment="1">
      <alignment horizontal="center" vertical="center"/>
    </xf>
    <xf numFmtId="0" fontId="2" fillId="14" borderId="13" xfId="0" applyFont="1" applyFill="1" applyBorder="1" applyAlignment="1">
      <alignment horizontal="center" vertical="center"/>
    </xf>
    <xf numFmtId="0" fontId="2" fillId="14" borderId="9" xfId="0" applyFont="1" applyFill="1" applyBorder="1" applyAlignment="1">
      <alignment horizontal="center" vertical="center"/>
    </xf>
    <xf numFmtId="0" fontId="2" fillId="14" borderId="36" xfId="0" applyFont="1" applyFill="1" applyBorder="1" applyAlignment="1">
      <alignment horizontal="center" vertical="center"/>
    </xf>
    <xf numFmtId="0" fontId="2" fillId="13" borderId="13" xfId="0" applyFont="1" applyFill="1" applyBorder="1" applyAlignment="1">
      <alignment horizontal="center" vertical="center"/>
    </xf>
    <xf numFmtId="0" fontId="2" fillId="13" borderId="9" xfId="0" applyFont="1" applyFill="1" applyBorder="1" applyAlignment="1">
      <alignment horizontal="center" vertical="center"/>
    </xf>
    <xf numFmtId="0" fontId="2" fillId="13" borderId="36" xfId="0" applyFont="1" applyFill="1" applyBorder="1" applyAlignment="1">
      <alignment horizontal="center" vertical="center"/>
    </xf>
    <xf numFmtId="0" fontId="2" fillId="0" borderId="32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33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7" xfId="0" applyFont="1" applyBorder="1" applyAlignment="1">
      <alignment horizontal="left" vertical="center"/>
    </xf>
    <xf numFmtId="0" fontId="3" fillId="0" borderId="10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31" xfId="0" applyFont="1" applyBorder="1" applyAlignment="1">
      <alignment horizontal="left" vertical="center"/>
    </xf>
    <xf numFmtId="0" fontId="2" fillId="15" borderId="13" xfId="0" applyFont="1" applyFill="1" applyBorder="1" applyAlignment="1">
      <alignment horizontal="center" vertical="center"/>
    </xf>
    <xf numFmtId="0" fontId="2" fillId="15" borderId="9" xfId="0" applyFont="1" applyFill="1" applyBorder="1" applyAlignment="1">
      <alignment horizontal="center" vertical="center"/>
    </xf>
    <xf numFmtId="0" fontId="2" fillId="15" borderId="36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10" fillId="0" borderId="53" xfId="0" applyFont="1" applyBorder="1" applyAlignment="1">
      <alignment horizontal="right" vertical="center"/>
    </xf>
    <xf numFmtId="0" fontId="10" fillId="0" borderId="41" xfId="0" applyFont="1" applyBorder="1" applyAlignment="1">
      <alignment horizontal="right" vertical="center"/>
    </xf>
    <xf numFmtId="0" fontId="10" fillId="0" borderId="54" xfId="0" applyFont="1" applyBorder="1" applyAlignment="1">
      <alignment horizontal="right" vertical="center"/>
    </xf>
    <xf numFmtId="0" fontId="10" fillId="0" borderId="55" xfId="0" applyFont="1" applyBorder="1" applyAlignment="1">
      <alignment horizontal="right" vertical="center"/>
    </xf>
    <xf numFmtId="0" fontId="10" fillId="0" borderId="26" xfId="0" applyFont="1" applyBorder="1" applyAlignment="1">
      <alignment horizontal="right" vertical="center"/>
    </xf>
    <xf numFmtId="0" fontId="10" fillId="0" borderId="56" xfId="0" applyFont="1" applyBorder="1" applyAlignment="1">
      <alignment horizontal="right" vertical="center"/>
    </xf>
    <xf numFmtId="0" fontId="10" fillId="0" borderId="57" xfId="0" applyFont="1" applyBorder="1" applyAlignment="1">
      <alignment horizontal="right" vertical="center"/>
    </xf>
    <xf numFmtId="0" fontId="10" fillId="0" borderId="58" xfId="0" applyFont="1" applyBorder="1" applyAlignment="1">
      <alignment horizontal="right" vertical="center"/>
    </xf>
    <xf numFmtId="0" fontId="14" fillId="10" borderId="6" xfId="0" applyFont="1" applyFill="1" applyBorder="1" applyAlignment="1">
      <alignment horizontal="center" vertical="center"/>
    </xf>
    <xf numFmtId="0" fontId="14" fillId="10" borderId="44" xfId="0" applyFont="1" applyFill="1" applyBorder="1" applyAlignment="1">
      <alignment horizontal="center" vertical="center"/>
    </xf>
    <xf numFmtId="0" fontId="14" fillId="10" borderId="8" xfId="0" applyFont="1" applyFill="1" applyBorder="1" applyAlignment="1">
      <alignment horizontal="center" vertical="center"/>
    </xf>
    <xf numFmtId="0" fontId="14" fillId="10" borderId="42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5" xfId="0" applyFont="1" applyFill="1" applyBorder="1" applyAlignment="1">
      <alignment horizontal="center" vertical="center"/>
    </xf>
    <xf numFmtId="0" fontId="14" fillId="10" borderId="48" xfId="0" applyFont="1" applyFill="1" applyBorder="1" applyAlignment="1">
      <alignment horizontal="center" vertical="center"/>
    </xf>
    <xf numFmtId="0" fontId="14" fillId="10" borderId="40" xfId="0" applyFont="1" applyFill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59" xfId="0" applyFont="1" applyBorder="1" applyAlignment="1">
      <alignment horizontal="center" vertical="center"/>
    </xf>
    <xf numFmtId="0" fontId="14" fillId="10" borderId="47" xfId="0" applyFont="1" applyFill="1" applyBorder="1" applyAlignment="1">
      <alignment horizontal="center" vertical="center"/>
    </xf>
    <xf numFmtId="0" fontId="2" fillId="16" borderId="15" xfId="0" applyFont="1" applyFill="1" applyBorder="1" applyAlignment="1">
      <alignment horizontal="center" vertical="center"/>
    </xf>
    <xf numFmtId="0" fontId="2" fillId="16" borderId="16" xfId="0" applyFont="1" applyFill="1" applyBorder="1" applyAlignment="1">
      <alignment horizontal="center" vertical="center"/>
    </xf>
    <xf numFmtId="0" fontId="2" fillId="16" borderId="37" xfId="0" applyFont="1" applyFill="1" applyBorder="1" applyAlignment="1">
      <alignment horizontal="center" vertical="center"/>
    </xf>
    <xf numFmtId="0" fontId="10" fillId="8" borderId="50" xfId="0" applyFont="1" applyFill="1" applyBorder="1" applyAlignment="1">
      <alignment horizontal="center" vertical="center"/>
    </xf>
    <xf numFmtId="0" fontId="10" fillId="8" borderId="43" xfId="0" applyFont="1" applyFill="1" applyBorder="1" applyAlignment="1">
      <alignment horizontal="center" vertical="center"/>
    </xf>
    <xf numFmtId="0" fontId="10" fillId="8" borderId="52" xfId="0" applyFont="1" applyFill="1" applyBorder="1" applyAlignment="1">
      <alignment horizontal="center" vertical="center"/>
    </xf>
    <xf numFmtId="0" fontId="10" fillId="8" borderId="51" xfId="0" applyFont="1" applyFill="1" applyBorder="1" applyAlignment="1">
      <alignment horizontal="center" vertical="center"/>
    </xf>
    <xf numFmtId="0" fontId="10" fillId="8" borderId="46" xfId="0" applyFont="1" applyFill="1" applyBorder="1" applyAlignment="1">
      <alignment horizontal="center" vertical="center"/>
    </xf>
    <xf numFmtId="0" fontId="10" fillId="8" borderId="49" xfId="0" applyFont="1" applyFill="1" applyBorder="1" applyAlignment="1">
      <alignment horizontal="center" vertical="center"/>
    </xf>
    <xf numFmtId="0" fontId="3" fillId="11" borderId="7" xfId="0" applyFont="1" applyFill="1" applyBorder="1" applyAlignment="1">
      <alignment horizontal="center" vertical="center"/>
    </xf>
    <xf numFmtId="0" fontId="3" fillId="11" borderId="59" xfId="0" applyFont="1" applyFill="1" applyBorder="1" applyAlignment="1">
      <alignment horizontal="center" vertical="center"/>
    </xf>
    <xf numFmtId="0" fontId="3" fillId="12" borderId="7" xfId="0" applyFont="1" applyFill="1" applyBorder="1" applyAlignment="1">
      <alignment horizontal="center" vertical="center"/>
    </xf>
    <xf numFmtId="0" fontId="3" fillId="12" borderId="59" xfId="0" applyFont="1" applyFill="1" applyBorder="1" applyAlignment="1">
      <alignment horizontal="center" vertical="center"/>
    </xf>
    <xf numFmtId="0" fontId="3" fillId="14" borderId="7" xfId="0" applyFont="1" applyFill="1" applyBorder="1" applyAlignment="1">
      <alignment horizontal="center" vertical="center"/>
    </xf>
    <xf numFmtId="0" fontId="3" fillId="14" borderId="59" xfId="0" applyFont="1" applyFill="1" applyBorder="1" applyAlignment="1">
      <alignment horizontal="center" vertical="center"/>
    </xf>
    <xf numFmtId="0" fontId="3" fillId="13" borderId="7" xfId="0" applyFont="1" applyFill="1" applyBorder="1" applyAlignment="1">
      <alignment horizontal="center" vertical="center"/>
    </xf>
    <xf numFmtId="0" fontId="3" fillId="13" borderId="59" xfId="0" applyFont="1" applyFill="1" applyBorder="1" applyAlignment="1">
      <alignment horizontal="center" vertical="center"/>
    </xf>
    <xf numFmtId="0" fontId="19" fillId="7" borderId="6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8" xfId="0" applyFont="1" applyFill="1" applyBorder="1" applyAlignment="1">
      <alignment horizontal="center" vertical="center"/>
    </xf>
    <xf numFmtId="0" fontId="19" fillId="7" borderId="42" xfId="0" applyFont="1" applyFill="1" applyBorder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19" fillId="7" borderId="25" xfId="0" applyFont="1" applyFill="1" applyBorder="1" applyAlignment="1">
      <alignment horizontal="center" vertical="center"/>
    </xf>
    <xf numFmtId="0" fontId="19" fillId="7" borderId="47" xfId="0" applyFont="1" applyFill="1" applyBorder="1" applyAlignment="1">
      <alignment horizontal="center" vertical="center"/>
    </xf>
    <xf numFmtId="0" fontId="19" fillId="7" borderId="48" xfId="0" applyFont="1" applyFill="1" applyBorder="1" applyAlignment="1">
      <alignment horizontal="center" vertical="center"/>
    </xf>
    <xf numFmtId="0" fontId="19" fillId="7" borderId="40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44" xfId="0" applyFont="1" applyFill="1" applyBorder="1" applyAlignment="1">
      <alignment horizontal="center" vertical="center"/>
    </xf>
    <xf numFmtId="0" fontId="17" fillId="7" borderId="8" xfId="0" applyFont="1" applyFill="1" applyBorder="1" applyAlignment="1">
      <alignment horizontal="center" vertical="center"/>
    </xf>
    <xf numFmtId="0" fontId="17" fillId="7" borderId="47" xfId="0" applyFont="1" applyFill="1" applyBorder="1" applyAlignment="1">
      <alignment horizontal="center" vertical="center"/>
    </xf>
    <xf numFmtId="0" fontId="17" fillId="7" borderId="48" xfId="0" applyFont="1" applyFill="1" applyBorder="1" applyAlignment="1">
      <alignment horizontal="center" vertical="center"/>
    </xf>
    <xf numFmtId="0" fontId="17" fillId="7" borderId="40" xfId="0" applyFont="1" applyFill="1" applyBorder="1" applyAlignment="1">
      <alignment horizontal="center" vertical="center"/>
    </xf>
    <xf numFmtId="0" fontId="15" fillId="10" borderId="27" xfId="0" applyFont="1" applyFill="1" applyBorder="1" applyAlignment="1">
      <alignment horizontal="center" vertical="center"/>
    </xf>
    <xf numFmtId="0" fontId="15" fillId="10" borderId="34" xfId="0" applyFont="1" applyFill="1" applyBorder="1" applyAlignment="1">
      <alignment horizontal="center" vertical="center"/>
    </xf>
    <xf numFmtId="49" fontId="10" fillId="6" borderId="44" xfId="0" applyNumberFormat="1" applyFont="1" applyFill="1" applyBorder="1" applyAlignment="1">
      <alignment horizontal="center" vertical="center"/>
    </xf>
    <xf numFmtId="49" fontId="10" fillId="6" borderId="8" xfId="0" applyNumberFormat="1" applyFont="1" applyFill="1" applyBorder="1" applyAlignment="1">
      <alignment horizontal="center" vertical="center"/>
    </xf>
    <xf numFmtId="49" fontId="10" fillId="6" borderId="0" xfId="0" applyNumberFormat="1" applyFont="1" applyFill="1" applyAlignment="1">
      <alignment horizontal="center" vertical="center"/>
    </xf>
    <xf numFmtId="49" fontId="10" fillId="6" borderId="25" xfId="0" applyNumberFormat="1" applyFont="1" applyFill="1" applyBorder="1" applyAlignment="1">
      <alignment horizontal="center" vertical="center"/>
    </xf>
    <xf numFmtId="49" fontId="10" fillId="6" borderId="48" xfId="0" applyNumberFormat="1" applyFont="1" applyFill="1" applyBorder="1" applyAlignment="1">
      <alignment horizontal="center" vertical="center"/>
    </xf>
    <xf numFmtId="49" fontId="10" fillId="6" borderId="40" xfId="0" applyNumberFormat="1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right" vertical="center"/>
    </xf>
    <xf numFmtId="0" fontId="13" fillId="7" borderId="44" xfId="0" applyFont="1" applyFill="1" applyBorder="1" applyAlignment="1">
      <alignment horizontal="right" vertical="center"/>
    </xf>
    <xf numFmtId="0" fontId="13" fillId="7" borderId="42" xfId="0" applyFont="1" applyFill="1" applyBorder="1" applyAlignment="1">
      <alignment horizontal="right" vertical="center"/>
    </xf>
    <xf numFmtId="0" fontId="13" fillId="7" borderId="0" xfId="0" applyFont="1" applyFill="1" applyAlignment="1">
      <alignment horizontal="right" vertical="center"/>
    </xf>
    <xf numFmtId="0" fontId="13" fillId="7" borderId="47" xfId="0" applyFont="1" applyFill="1" applyBorder="1" applyAlignment="1">
      <alignment horizontal="right" vertical="center"/>
    </xf>
    <xf numFmtId="0" fontId="13" fillId="7" borderId="48" xfId="0" applyFont="1" applyFill="1" applyBorder="1" applyAlignment="1">
      <alignment horizontal="right" vertical="center"/>
    </xf>
    <xf numFmtId="0" fontId="13" fillId="7" borderId="44" xfId="0" applyFont="1" applyFill="1" applyBorder="1" applyAlignment="1">
      <alignment horizontal="left" vertical="center"/>
    </xf>
    <xf numFmtId="0" fontId="13" fillId="7" borderId="8" xfId="0" applyFont="1" applyFill="1" applyBorder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13" fillId="7" borderId="25" xfId="0" applyFont="1" applyFill="1" applyBorder="1" applyAlignment="1">
      <alignment horizontal="left" vertical="center"/>
    </xf>
    <xf numFmtId="0" fontId="13" fillId="7" borderId="48" xfId="0" applyFont="1" applyFill="1" applyBorder="1" applyAlignment="1">
      <alignment horizontal="left" vertical="center"/>
    </xf>
    <xf numFmtId="0" fontId="13" fillId="7" borderId="40" xfId="0" applyFont="1" applyFill="1" applyBorder="1" applyAlignment="1">
      <alignment horizontal="left" vertical="center"/>
    </xf>
    <xf numFmtId="14" fontId="9" fillId="6" borderId="44" xfId="0" applyNumberFormat="1" applyFont="1" applyFill="1" applyBorder="1" applyAlignment="1">
      <alignment horizontal="left" vertical="center"/>
    </xf>
    <xf numFmtId="14" fontId="9" fillId="6" borderId="8" xfId="0" applyNumberFormat="1" applyFont="1" applyFill="1" applyBorder="1" applyAlignment="1">
      <alignment horizontal="left" vertical="center"/>
    </xf>
    <xf numFmtId="14" fontId="9" fillId="6" borderId="48" xfId="0" applyNumberFormat="1" applyFont="1" applyFill="1" applyBorder="1" applyAlignment="1">
      <alignment horizontal="left" vertical="center"/>
    </xf>
    <xf numFmtId="14" fontId="9" fillId="6" borderId="40" xfId="0" applyNumberFormat="1" applyFont="1" applyFill="1" applyBorder="1" applyAlignment="1">
      <alignment horizontal="left" vertical="center"/>
    </xf>
    <xf numFmtId="0" fontId="9" fillId="6" borderId="6" xfId="0" applyFont="1" applyFill="1" applyBorder="1" applyAlignment="1">
      <alignment horizontal="right" vertical="center"/>
    </xf>
    <xf numFmtId="0" fontId="9" fillId="6" borderId="44" xfId="0" applyFont="1" applyFill="1" applyBorder="1" applyAlignment="1">
      <alignment horizontal="right" vertical="center"/>
    </xf>
    <xf numFmtId="0" fontId="9" fillId="6" borderId="47" xfId="0" applyFont="1" applyFill="1" applyBorder="1" applyAlignment="1">
      <alignment horizontal="right" vertical="center"/>
    </xf>
    <xf numFmtId="0" fontId="9" fillId="6" borderId="48" xfId="0" applyFont="1" applyFill="1" applyBorder="1" applyAlignment="1">
      <alignment horizontal="right" vertical="center"/>
    </xf>
    <xf numFmtId="49" fontId="4" fillId="2" borderId="10" xfId="0" applyNumberFormat="1" applyFont="1" applyFill="1" applyBorder="1" applyAlignment="1">
      <alignment horizontal="center" vertical="center"/>
    </xf>
    <xf numFmtId="49" fontId="4" fillId="2" borderId="12" xfId="0" applyNumberFormat="1" applyFont="1" applyFill="1" applyBorder="1" applyAlignment="1">
      <alignment horizontal="center" vertical="center"/>
    </xf>
    <xf numFmtId="49" fontId="4" fillId="2" borderId="11" xfId="0" applyNumberFormat="1" applyFont="1" applyFill="1" applyBorder="1" applyAlignment="1">
      <alignment horizontal="center" vertical="center"/>
    </xf>
    <xf numFmtId="49" fontId="4" fillId="2" borderId="35" xfId="0" applyNumberFormat="1" applyFont="1" applyFill="1" applyBorder="1" applyAlignment="1">
      <alignment horizontal="center" vertical="center"/>
    </xf>
    <xf numFmtId="49" fontId="4" fillId="2" borderId="28" xfId="0" applyNumberFormat="1" applyFont="1" applyFill="1" applyBorder="1" applyAlignment="1">
      <alignment horizontal="center" vertical="center"/>
    </xf>
    <xf numFmtId="49" fontId="4" fillId="2" borderId="27" xfId="0" applyNumberFormat="1" applyFont="1" applyFill="1" applyBorder="1" applyAlignment="1">
      <alignment horizontal="center" vertical="center"/>
    </xf>
    <xf numFmtId="49" fontId="4" fillId="2" borderId="34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left" vertical="center"/>
    </xf>
    <xf numFmtId="49" fontId="1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165" fontId="1" fillId="0" borderId="49" xfId="0" applyNumberFormat="1" applyFont="1" applyBorder="1" applyAlignment="1">
      <alignment horizontal="center" vertical="center"/>
    </xf>
    <xf numFmtId="165" fontId="1" fillId="0" borderId="63" xfId="0" applyNumberFormat="1" applyFont="1" applyBorder="1" applyAlignment="1">
      <alignment horizontal="center" vertical="center"/>
    </xf>
    <xf numFmtId="165" fontId="1" fillId="0" borderId="66" xfId="0" applyNumberFormat="1" applyFont="1" applyBorder="1" applyAlignment="1">
      <alignment horizontal="center" vertical="center"/>
    </xf>
    <xf numFmtId="165" fontId="1" fillId="0" borderId="32" xfId="0" applyNumberFormat="1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165" fontId="1" fillId="0" borderId="14" xfId="0" applyNumberFormat="1" applyFont="1" applyBorder="1" applyAlignment="1">
      <alignment horizontal="center" vertical="center"/>
    </xf>
    <xf numFmtId="165" fontId="18" fillId="0" borderId="32" xfId="0" applyNumberFormat="1" applyFont="1" applyBorder="1" applyAlignment="1">
      <alignment horizontal="center" vertical="center"/>
    </xf>
    <xf numFmtId="165" fontId="18" fillId="0" borderId="9" xfId="0" applyNumberFormat="1" applyFont="1" applyBorder="1" applyAlignment="1">
      <alignment horizontal="center" vertical="center"/>
    </xf>
    <xf numFmtId="165" fontId="18" fillId="0" borderId="14" xfId="0" applyNumberFormat="1" applyFont="1" applyBorder="1" applyAlignment="1">
      <alignment horizontal="center" vertical="center"/>
    </xf>
    <xf numFmtId="165" fontId="18" fillId="0" borderId="33" xfId="0" applyNumberFormat="1" applyFont="1" applyBorder="1" applyAlignment="1">
      <alignment horizontal="center" vertical="center"/>
    </xf>
    <xf numFmtId="165" fontId="18" fillId="0" borderId="16" xfId="0" applyNumberFormat="1" applyFont="1" applyBorder="1" applyAlignment="1">
      <alignment horizontal="center" vertical="center"/>
    </xf>
    <xf numFmtId="165" fontId="18" fillId="0" borderId="17" xfId="0" applyNumberFormat="1" applyFont="1" applyBorder="1" applyAlignment="1">
      <alignment horizontal="center" vertical="center"/>
    </xf>
    <xf numFmtId="49" fontId="4" fillId="2" borderId="70" xfId="0" applyNumberFormat="1" applyFont="1" applyFill="1" applyBorder="1" applyAlignment="1">
      <alignment horizontal="center" vertical="center"/>
    </xf>
    <xf numFmtId="49" fontId="4" fillId="2" borderId="68" xfId="0" applyNumberFormat="1" applyFont="1" applyFill="1" applyBorder="1" applyAlignment="1">
      <alignment horizontal="center" vertical="center"/>
    </xf>
    <xf numFmtId="0" fontId="28" fillId="17" borderId="96" xfId="0" applyFont="1" applyFill="1" applyBorder="1" applyAlignment="1">
      <alignment horizontal="center" vertical="center"/>
    </xf>
    <xf numFmtId="0" fontId="28" fillId="17" borderId="40" xfId="0" applyFont="1" applyFill="1" applyBorder="1" applyAlignment="1">
      <alignment horizontal="center" vertical="center"/>
    </xf>
    <xf numFmtId="0" fontId="28" fillId="17" borderId="44" xfId="0" applyFont="1" applyFill="1" applyBorder="1" applyAlignment="1">
      <alignment horizontal="center" vertical="center"/>
    </xf>
    <xf numFmtId="165" fontId="28" fillId="0" borderId="83" xfId="0" applyNumberFormat="1" applyFont="1" applyBorder="1" applyAlignment="1">
      <alignment horizontal="center" vertical="center"/>
    </xf>
    <xf numFmtId="165" fontId="28" fillId="0" borderId="34" xfId="0" applyNumberFormat="1" applyFont="1" applyBorder="1" applyAlignment="1">
      <alignment horizontal="center" vertical="center"/>
    </xf>
    <xf numFmtId="0" fontId="20" fillId="18" borderId="110" xfId="0" applyFont="1" applyFill="1" applyBorder="1" applyAlignment="1">
      <alignment horizontal="center" vertical="center"/>
    </xf>
    <xf numFmtId="0" fontId="20" fillId="18" borderId="111" xfId="0" applyFont="1" applyFill="1" applyBorder="1" applyAlignment="1">
      <alignment horizontal="center" vertical="center"/>
    </xf>
    <xf numFmtId="0" fontId="28" fillId="17" borderId="47" xfId="0" quotePrefix="1" applyFont="1" applyFill="1" applyBorder="1" applyAlignment="1">
      <alignment horizontal="center" vertical="center"/>
    </xf>
    <xf numFmtId="0" fontId="28" fillId="17" borderId="48" xfId="0" quotePrefix="1" applyFont="1" applyFill="1" applyBorder="1" applyAlignment="1">
      <alignment horizontal="center" vertical="center"/>
    </xf>
    <xf numFmtId="0" fontId="28" fillId="17" borderId="27" xfId="0" quotePrefix="1" applyFont="1" applyFill="1" applyBorder="1" applyAlignment="1">
      <alignment horizontal="center" vertical="center"/>
    </xf>
    <xf numFmtId="0" fontId="28" fillId="17" borderId="105" xfId="0" quotePrefix="1" applyFont="1" applyFill="1" applyBorder="1" applyAlignment="1">
      <alignment horizontal="center" vertical="center"/>
    </xf>
    <xf numFmtId="165" fontId="24" fillId="0" borderId="102" xfId="0" applyNumberFormat="1" applyFont="1" applyBorder="1" applyAlignment="1">
      <alignment horizontal="center" vertical="center"/>
    </xf>
    <xf numFmtId="165" fontId="24" fillId="0" borderId="101" xfId="0" applyNumberFormat="1" applyFont="1" applyBorder="1" applyAlignment="1">
      <alignment horizontal="center" vertical="center"/>
    </xf>
    <xf numFmtId="165" fontId="24" fillId="0" borderId="106" xfId="0" applyNumberFormat="1" applyFont="1" applyBorder="1" applyAlignment="1">
      <alignment horizontal="center" vertical="center"/>
    </xf>
    <xf numFmtId="0" fontId="28" fillId="17" borderId="48" xfId="0" applyFont="1" applyFill="1" applyBorder="1" applyAlignment="1">
      <alignment horizontal="center" vertical="center"/>
    </xf>
    <xf numFmtId="0" fontId="28" fillId="17" borderId="27" xfId="0" applyFont="1" applyFill="1" applyBorder="1" applyAlignment="1">
      <alignment horizontal="center" vertical="center"/>
    </xf>
    <xf numFmtId="165" fontId="12" fillId="0" borderId="97" xfId="0" applyNumberFormat="1" applyFont="1" applyBorder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100" xfId="0" applyNumberFormat="1" applyFont="1" applyBorder="1" applyAlignment="1">
      <alignment horizontal="center" vertical="center"/>
    </xf>
    <xf numFmtId="165" fontId="12" fillId="0" borderId="101" xfId="0" applyNumberFormat="1" applyFont="1" applyBorder="1" applyAlignment="1">
      <alignment horizontal="center" vertical="center"/>
    </xf>
    <xf numFmtId="0" fontId="28" fillId="17" borderId="104" xfId="0" applyFont="1" applyFill="1" applyBorder="1" applyAlignment="1">
      <alignment horizontal="center" vertical="center"/>
    </xf>
    <xf numFmtId="166" fontId="28" fillId="0" borderId="28" xfId="0" applyNumberFormat="1" applyFont="1" applyBorder="1" applyAlignment="1">
      <alignment horizontal="center" vertical="center"/>
    </xf>
    <xf numFmtId="166" fontId="28" fillId="0" borderId="34" xfId="0" applyNumberFormat="1" applyFont="1" applyBorder="1" applyAlignment="1">
      <alignment horizontal="center" vertical="center"/>
    </xf>
    <xf numFmtId="165" fontId="28" fillId="0" borderId="44" xfId="0" applyNumberFormat="1" applyFont="1" applyBorder="1" applyAlignment="1">
      <alignment horizontal="center" vertical="center"/>
    </xf>
    <xf numFmtId="165" fontId="28" fillId="0" borderId="104" xfId="0" applyNumberFormat="1" applyFont="1" applyBorder="1" applyAlignment="1">
      <alignment horizontal="center" vertical="center"/>
    </xf>
    <xf numFmtId="0" fontId="6" fillId="10" borderId="75" xfId="0" applyFont="1" applyFill="1" applyBorder="1" applyAlignment="1">
      <alignment horizontal="center" vertical="center"/>
    </xf>
    <xf numFmtId="0" fontId="6" fillId="10" borderId="76" xfId="0" applyFont="1" applyFill="1" applyBorder="1" applyAlignment="1">
      <alignment horizontal="center" vertical="center"/>
    </xf>
    <xf numFmtId="0" fontId="6" fillId="10" borderId="79" xfId="0" applyFont="1" applyFill="1" applyBorder="1" applyAlignment="1">
      <alignment horizontal="center" vertical="center"/>
    </xf>
    <xf numFmtId="0" fontId="26" fillId="10" borderId="107" xfId="0" applyFont="1" applyFill="1" applyBorder="1" applyAlignment="1">
      <alignment horizontal="left" vertical="center"/>
    </xf>
    <xf numFmtId="49" fontId="6" fillId="10" borderId="108" xfId="0" applyNumberFormat="1" applyFont="1" applyFill="1" applyBorder="1" applyAlignment="1">
      <alignment horizontal="center" vertical="center"/>
    </xf>
    <xf numFmtId="49" fontId="6" fillId="10" borderId="107" xfId="0" applyNumberFormat="1" applyFont="1" applyFill="1" applyBorder="1" applyAlignment="1">
      <alignment horizontal="center" vertical="center"/>
    </xf>
    <xf numFmtId="0" fontId="19" fillId="10" borderId="108" xfId="0" applyFont="1" applyFill="1" applyBorder="1" applyAlignment="1">
      <alignment horizontal="center" vertical="center"/>
    </xf>
    <xf numFmtId="0" fontId="19" fillId="10" borderId="107" xfId="0" applyFont="1" applyFill="1" applyBorder="1" applyAlignment="1">
      <alignment horizontal="center" vertical="center"/>
    </xf>
    <xf numFmtId="0" fontId="28" fillId="6" borderId="42" xfId="0" applyFont="1" applyFill="1" applyBorder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6" borderId="44" xfId="0" applyFont="1" applyFill="1" applyBorder="1" applyAlignment="1">
      <alignment horizontal="center" vertical="center"/>
    </xf>
    <xf numFmtId="0" fontId="28" fillId="6" borderId="104" xfId="0" applyFont="1" applyFill="1" applyBorder="1" applyAlignment="1">
      <alignment horizontal="center" vertical="center"/>
    </xf>
    <xf numFmtId="0" fontId="22" fillId="17" borderId="28" xfId="0" quotePrefix="1" applyFont="1" applyFill="1" applyBorder="1" applyAlignment="1">
      <alignment horizontal="center" vertical="center"/>
    </xf>
    <xf numFmtId="0" fontId="22" fillId="17" borderId="34" xfId="0" quotePrefix="1" applyFont="1" applyFill="1" applyBorder="1" applyAlignment="1">
      <alignment horizontal="center" vertical="center"/>
    </xf>
    <xf numFmtId="0" fontId="22" fillId="17" borderId="44" xfId="0" quotePrefix="1" applyFont="1" applyFill="1" applyBorder="1" applyAlignment="1">
      <alignment horizontal="center" vertical="center"/>
    </xf>
    <xf numFmtId="0" fontId="22" fillId="17" borderId="104" xfId="0" quotePrefix="1" applyFont="1" applyFill="1" applyBorder="1" applyAlignment="1">
      <alignment horizontal="center" vertical="center"/>
    </xf>
    <xf numFmtId="165" fontId="28" fillId="0" borderId="28" xfId="0" applyNumberFormat="1" applyFont="1" applyBorder="1" applyAlignment="1">
      <alignment horizontal="center" vertical="center"/>
    </xf>
    <xf numFmtId="0" fontId="1" fillId="6" borderId="77" xfId="0" applyFont="1" applyFill="1" applyBorder="1" applyAlignment="1">
      <alignment horizontal="center" vertical="center" wrapText="1"/>
    </xf>
    <xf numFmtId="0" fontId="1" fillId="6" borderId="78" xfId="0" applyFont="1" applyFill="1" applyBorder="1" applyAlignment="1">
      <alignment horizontal="center" vertical="center" wrapText="1"/>
    </xf>
    <xf numFmtId="0" fontId="1" fillId="6" borderId="82" xfId="0" applyFont="1" applyFill="1" applyBorder="1" applyAlignment="1">
      <alignment horizontal="center" vertical="center" wrapText="1"/>
    </xf>
    <xf numFmtId="0" fontId="22" fillId="6" borderId="77" xfId="0" applyFont="1" applyFill="1" applyBorder="1" applyAlignment="1">
      <alignment horizontal="center" vertical="center"/>
    </xf>
    <xf numFmtId="0" fontId="22" fillId="6" borderId="91" xfId="0" applyFont="1" applyFill="1" applyBorder="1" applyAlignment="1">
      <alignment horizontal="center" vertical="center"/>
    </xf>
    <xf numFmtId="0" fontId="22" fillId="6" borderId="94" xfId="0" applyFont="1" applyFill="1" applyBorder="1" applyAlignment="1">
      <alignment horizontal="center" vertical="center"/>
    </xf>
    <xf numFmtId="0" fontId="6" fillId="10" borderId="98" xfId="0" applyFont="1" applyFill="1" applyBorder="1" applyAlignment="1">
      <alignment horizontal="center" vertical="center"/>
    </xf>
    <xf numFmtId="0" fontId="6" fillId="10" borderId="99" xfId="0" applyFont="1" applyFill="1" applyBorder="1" applyAlignment="1">
      <alignment horizontal="center" vertical="center"/>
    </xf>
    <xf numFmtId="0" fontId="6" fillId="10" borderId="103" xfId="0" applyFont="1" applyFill="1" applyBorder="1" applyAlignment="1">
      <alignment horizontal="center" vertical="center"/>
    </xf>
    <xf numFmtId="0" fontId="28" fillId="6" borderId="95" xfId="0" applyFont="1" applyFill="1" applyBorder="1" applyAlignment="1">
      <alignment horizontal="center" vertical="center"/>
    </xf>
    <xf numFmtId="0" fontId="28" fillId="6" borderId="6" xfId="0" applyFont="1" applyFill="1" applyBorder="1" applyAlignment="1">
      <alignment horizontal="center" vertical="center"/>
    </xf>
    <xf numFmtId="0" fontId="28" fillId="17" borderId="28" xfId="0" applyFont="1" applyFill="1" applyBorder="1" applyAlignment="1">
      <alignment horizontal="center" vertical="center"/>
    </xf>
    <xf numFmtId="0" fontId="28" fillId="17" borderId="34" xfId="0" applyFont="1" applyFill="1" applyBorder="1" applyAlignment="1">
      <alignment horizontal="center" vertical="center"/>
    </xf>
    <xf numFmtId="0" fontId="28" fillId="17" borderId="83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8694A3B8-7AC4-4A07-BA3E-24FD1209D730}"/>
  </cellStyles>
  <dxfs count="66">
    <dxf>
      <font>
        <color auto="1"/>
      </font>
    </dxf>
    <dxf>
      <font>
        <color rgb="FFFF0000"/>
      </font>
    </dxf>
    <dxf>
      <font>
        <color rgb="FFFFC000"/>
      </font>
    </dxf>
    <dxf>
      <font>
        <color rgb="FF00B050"/>
      </font>
    </dxf>
    <dxf>
      <font>
        <color rgb="FFFF0000"/>
      </font>
    </dxf>
    <dxf>
      <font>
        <color theme="1"/>
      </font>
    </dxf>
    <dxf>
      <font>
        <color rgb="FFFF0000"/>
      </font>
    </dxf>
    <dxf>
      <fill>
        <patternFill patternType="lightUp">
          <fgColor indexed="64"/>
          <bgColor indexed="65"/>
        </patternFill>
      </fill>
    </dxf>
    <dxf>
      <fill>
        <patternFill patternType="lightUp">
          <fgColor indexed="64"/>
          <bgColor indexed="65"/>
        </patternFill>
      </fill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auto="1"/>
      </font>
    </dxf>
    <dxf>
      <fill>
        <patternFill>
          <fgColor indexed="64"/>
          <bgColor theme="0" tint="-0.34998626667073579"/>
        </patternFill>
      </fill>
    </dxf>
    <dxf>
      <font>
        <b/>
        <i val="0"/>
      </font>
      <fill>
        <patternFill>
          <fgColor indexed="64"/>
          <bgColor rgb="FF92D050"/>
        </patternFill>
      </fill>
    </dxf>
    <dxf>
      <fill>
        <patternFill patternType="gray125">
          <fgColor rgb="FFFF0000"/>
          <bgColor indexed="65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 patternType="gray125">
          <fgColor rgb="FFFF0000"/>
          <bgColor indexed="65"/>
        </patternFill>
      </fill>
    </dxf>
    <dxf>
      <font>
        <b/>
        <i val="0"/>
      </font>
      <fill>
        <patternFill>
          <fgColor indexed="64"/>
          <bgColor rgb="FF92D050"/>
        </patternFill>
      </fill>
    </dxf>
    <dxf>
      <font>
        <b/>
        <i val="0"/>
        <u/>
      </font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0000"/>
        </patternFill>
      </fill>
    </dxf>
    <dxf>
      <fill>
        <patternFill patternType="lightUp">
          <fgColor indexed="64"/>
          <bgColor theme="0"/>
        </patternFill>
      </fill>
    </dxf>
    <dxf>
      <fill>
        <patternFill patternType="lightUp">
          <fgColor indexed="64"/>
          <bgColor theme="0"/>
        </patternFill>
      </fill>
    </dxf>
    <dxf>
      <fill>
        <patternFill patternType="lightUp">
          <fgColor indexed="64"/>
          <bgColor theme="0"/>
        </patternFill>
      </fill>
    </dxf>
    <dxf>
      <fill>
        <patternFill patternType="lightUp">
          <fgColor indexed="64"/>
          <bgColor theme="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theme="0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92D050"/>
        </patternFill>
      </fill>
    </dxf>
    <dxf>
      <fill>
        <patternFill patternType="none">
          <bgColor indexed="65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80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fgColor indexed="64"/>
          <bgColor rgb="FFFF0000"/>
        </patternFill>
      </fill>
    </dxf>
    <dxf>
      <fill>
        <patternFill patternType="none">
          <bgColor indexed="65"/>
        </patternFill>
      </fill>
    </dxf>
    <dxf>
      <fill>
        <patternFill>
          <fgColor indexed="64"/>
          <bgColor rgb="FFFFC000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00B0F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theme="6" tint="0.39991454817346722"/>
        </patternFill>
      </fill>
    </dxf>
    <dxf>
      <fill>
        <patternFill>
          <fgColor indexed="64"/>
          <bgColor theme="0" tint="-0.34998626667073579"/>
        </patternFill>
      </fill>
    </dxf>
    <dxf>
      <fill>
        <patternFill>
          <fgColor indexed="64"/>
          <bgColor rgb="FF00FFFF"/>
        </patternFill>
      </fill>
    </dxf>
    <dxf>
      <fill>
        <patternFill>
          <fgColor indexed="64"/>
          <bgColor rgb="FFFFC000"/>
        </patternFill>
      </fill>
    </dxf>
    <dxf>
      <font>
        <color rgb="FFFFC000"/>
      </font>
    </dxf>
    <dxf>
      <font>
        <color rgb="FFFF0000"/>
      </font>
    </dxf>
    <dxf>
      <font>
        <color rgb="FF00B050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Polulate PO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14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Suppliers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ioletta\AppData\Roaming\Microsoft\Excel\XLSTART\EAS_Macro_JR.xlam" TargetMode="External"/><Relationship Id="rId1" Type="http://schemas.microsoft.com/office/2006/relationships/xlExternalLinkPath/xlStartup" Target="EAS_Macro_J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EAS_Macro_JR"/>
    </sheetNames>
    <definedNames>
      <definedName name="PO.createPO"/>
      <definedName name="PO.updateSUP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tabColor theme="0"/>
  </sheetPr>
  <dimension ref="A1:Z47"/>
  <sheetViews>
    <sheetView workbookViewId="0"/>
  </sheetViews>
  <sheetFormatPr defaultColWidth="11.42578125" defaultRowHeight="12.75" x14ac:dyDescent="0.2"/>
  <cols>
    <col min="1" max="1" width="6.7109375" style="4" customWidth="1"/>
    <col min="2" max="2" width="11.42578125" style="4" customWidth="1"/>
    <col min="3" max="4" width="10.7109375" style="4" customWidth="1"/>
    <col min="5" max="5" width="17.85546875" style="4" customWidth="1"/>
    <col min="6" max="6" width="7.7109375" style="4" customWidth="1"/>
    <col min="7" max="7" width="10.7109375" style="4" customWidth="1"/>
    <col min="8" max="9" width="7.42578125" style="4" customWidth="1"/>
    <col min="10" max="21" width="11.42578125" style="4"/>
    <col min="22" max="23" width="6" style="4" customWidth="1"/>
    <col min="24" max="25" width="11.42578125" style="4"/>
    <col min="26" max="26" width="6.7109375" style="4" customWidth="1"/>
    <col min="27" max="16384" width="11.42578125" style="4"/>
  </cols>
  <sheetData>
    <row r="1" spans="1:26" ht="8.25" customHeight="1" x14ac:dyDescent="0.2"/>
    <row r="2" spans="1:26" ht="9.75" customHeight="1" thickBot="1" x14ac:dyDescent="0.25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</row>
    <row r="3" spans="1:26" ht="27" customHeight="1" thickBot="1" x14ac:dyDescent="0.25">
      <c r="A3" s="6"/>
      <c r="B3" s="342" t="s">
        <v>0</v>
      </c>
      <c r="C3" s="343"/>
      <c r="D3" s="343"/>
      <c r="E3" s="348" t="str">
        <f>RIGHT(BOM!J1,LEN(BOM!J1)-3)</f>
        <v>22314</v>
      </c>
      <c r="F3" s="348"/>
      <c r="G3" s="348"/>
      <c r="H3" s="348"/>
      <c r="I3" s="349"/>
      <c r="J3" s="334" t="s">
        <v>146</v>
      </c>
      <c r="K3" s="334"/>
      <c r="L3" s="334"/>
      <c r="M3" s="334"/>
      <c r="N3" s="334"/>
      <c r="O3" s="334"/>
      <c r="P3" s="335"/>
      <c r="Q3" s="328" t="str">
        <f>"BOM Rev: " &amp; LOOKUP(2,1/(COUNTIF('Rev History'!$B$5:$B$19,"&gt;"&amp;'Rev History'!$B$5:$B$19&amp;"*")=0),'Rev History'!$B$5:$B$19)</f>
        <v>BOM Rev: A</v>
      </c>
      <c r="R3" s="329"/>
      <c r="S3" s="329"/>
      <c r="T3" s="329"/>
      <c r="U3" s="329"/>
      <c r="V3" s="329"/>
      <c r="W3" s="329"/>
      <c r="X3" s="329"/>
      <c r="Y3" s="330"/>
      <c r="Z3" s="7"/>
    </row>
    <row r="4" spans="1:26" ht="10.5" customHeight="1" thickBot="1" x14ac:dyDescent="0.25">
      <c r="A4" s="6"/>
      <c r="B4" s="344"/>
      <c r="C4" s="345"/>
      <c r="D4" s="345"/>
      <c r="E4" s="350"/>
      <c r="F4" s="350"/>
      <c r="G4" s="350"/>
      <c r="H4" s="350"/>
      <c r="I4" s="351"/>
      <c r="J4" s="336" t="str">
        <f>BOM!J3</f>
        <v>Athena Racing (Athena Racing)</v>
      </c>
      <c r="K4" s="336"/>
      <c r="L4" s="336"/>
      <c r="M4" s="336"/>
      <c r="N4" s="336"/>
      <c r="O4" s="336"/>
      <c r="P4" s="337"/>
      <c r="Q4" s="331"/>
      <c r="R4" s="332"/>
      <c r="S4" s="332"/>
      <c r="T4" s="332"/>
      <c r="U4" s="332"/>
      <c r="V4" s="332"/>
      <c r="W4" s="332"/>
      <c r="X4" s="332"/>
      <c r="Y4" s="333"/>
      <c r="Z4" s="7"/>
    </row>
    <row r="5" spans="1:26" ht="12.75" customHeight="1" x14ac:dyDescent="0.2">
      <c r="A5" s="6"/>
      <c r="B5" s="344"/>
      <c r="C5" s="345"/>
      <c r="D5" s="345"/>
      <c r="E5" s="350"/>
      <c r="F5" s="350"/>
      <c r="G5" s="350"/>
      <c r="H5" s="350"/>
      <c r="I5" s="351"/>
      <c r="J5" s="338"/>
      <c r="K5" s="338"/>
      <c r="L5" s="338"/>
      <c r="M5" s="338"/>
      <c r="N5" s="338"/>
      <c r="O5" s="338"/>
      <c r="P5" s="339"/>
      <c r="Q5" s="319" t="s">
        <v>182</v>
      </c>
      <c r="R5" s="320"/>
      <c r="S5" s="320"/>
      <c r="T5" s="320"/>
      <c r="U5" s="320"/>
      <c r="V5" s="320"/>
      <c r="W5" s="320"/>
      <c r="X5" s="320"/>
      <c r="Y5" s="321"/>
      <c r="Z5" s="7"/>
    </row>
    <row r="6" spans="1:26" ht="12.75" customHeight="1" x14ac:dyDescent="0.2">
      <c r="A6" s="6"/>
      <c r="B6" s="344"/>
      <c r="C6" s="345"/>
      <c r="D6" s="345"/>
      <c r="E6" s="350"/>
      <c r="F6" s="350"/>
      <c r="G6" s="350"/>
      <c r="H6" s="350"/>
      <c r="I6" s="351"/>
      <c r="J6" s="338"/>
      <c r="K6" s="338"/>
      <c r="L6" s="338"/>
      <c r="M6" s="338"/>
      <c r="N6" s="338"/>
      <c r="O6" s="338"/>
      <c r="P6" s="339"/>
      <c r="Q6" s="322"/>
      <c r="R6" s="323"/>
      <c r="S6" s="323"/>
      <c r="T6" s="323"/>
      <c r="U6" s="323"/>
      <c r="V6" s="323"/>
      <c r="W6" s="323"/>
      <c r="X6" s="323"/>
      <c r="Y6" s="324"/>
      <c r="Z6" s="7"/>
    </row>
    <row r="7" spans="1:26" ht="5.25" customHeight="1" thickBot="1" x14ac:dyDescent="0.25">
      <c r="A7" s="6"/>
      <c r="B7" s="346"/>
      <c r="C7" s="347"/>
      <c r="D7" s="347"/>
      <c r="E7" s="352"/>
      <c r="F7" s="352"/>
      <c r="G7" s="352"/>
      <c r="H7" s="352"/>
      <c r="I7" s="353"/>
      <c r="J7" s="340"/>
      <c r="K7" s="340"/>
      <c r="L7" s="340"/>
      <c r="M7" s="340"/>
      <c r="N7" s="340"/>
      <c r="O7" s="340"/>
      <c r="P7" s="341"/>
      <c r="Q7" s="325"/>
      <c r="R7" s="326"/>
      <c r="S7" s="326"/>
      <c r="T7" s="326"/>
      <c r="U7" s="326"/>
      <c r="V7" s="326"/>
      <c r="W7" s="326"/>
      <c r="X7" s="326"/>
      <c r="Y7" s="327"/>
      <c r="Z7" s="7"/>
    </row>
    <row r="8" spans="1:26" ht="12.75" customHeight="1" x14ac:dyDescent="0.2">
      <c r="A8" s="6"/>
      <c r="B8" s="294" t="s">
        <v>145</v>
      </c>
      <c r="C8" s="295"/>
      <c r="D8" s="295"/>
      <c r="E8" s="295"/>
      <c r="F8" s="295"/>
      <c r="G8" s="295"/>
      <c r="H8" s="295"/>
      <c r="I8" s="295"/>
      <c r="J8" s="292"/>
      <c r="K8" s="292"/>
      <c r="L8" s="293"/>
      <c r="M8" s="291" t="s">
        <v>9</v>
      </c>
      <c r="N8" s="292"/>
      <c r="O8" s="292"/>
      <c r="P8" s="292"/>
      <c r="Q8" s="292"/>
      <c r="R8" s="293"/>
      <c r="S8" s="291" t="s">
        <v>149</v>
      </c>
      <c r="T8" s="292"/>
      <c r="U8" s="292"/>
      <c r="V8" s="292"/>
      <c r="W8" s="292"/>
      <c r="X8" s="292"/>
      <c r="Y8" s="293"/>
      <c r="Z8" s="7"/>
    </row>
    <row r="9" spans="1:26" ht="10.5" customHeight="1" x14ac:dyDescent="0.2">
      <c r="A9" s="6"/>
      <c r="B9" s="294"/>
      <c r="C9" s="295"/>
      <c r="D9" s="295"/>
      <c r="E9" s="295"/>
      <c r="F9" s="295"/>
      <c r="G9" s="295"/>
      <c r="H9" s="295"/>
      <c r="I9" s="295"/>
      <c r="J9" s="295"/>
      <c r="K9" s="295"/>
      <c r="L9" s="296"/>
      <c r="M9" s="294"/>
      <c r="N9" s="295"/>
      <c r="O9" s="295"/>
      <c r="P9" s="295"/>
      <c r="Q9" s="295"/>
      <c r="R9" s="296"/>
      <c r="S9" s="294"/>
      <c r="T9" s="295"/>
      <c r="U9" s="295"/>
      <c r="V9" s="295"/>
      <c r="W9" s="295"/>
      <c r="X9" s="295"/>
      <c r="Y9" s="296"/>
      <c r="Z9" s="7"/>
    </row>
    <row r="10" spans="1:26" ht="12.75" customHeight="1" thickBot="1" x14ac:dyDescent="0.25">
      <c r="A10" s="6"/>
      <c r="B10" s="301"/>
      <c r="C10" s="297"/>
      <c r="D10" s="297"/>
      <c r="E10" s="297"/>
      <c r="F10" s="297"/>
      <c r="G10" s="297"/>
      <c r="H10" s="297"/>
      <c r="I10" s="297"/>
      <c r="J10" s="297"/>
      <c r="K10" s="297"/>
      <c r="L10" s="298"/>
      <c r="M10" s="301"/>
      <c r="N10" s="297"/>
      <c r="O10" s="297"/>
      <c r="P10" s="297"/>
      <c r="Q10" s="297"/>
      <c r="R10" s="298"/>
      <c r="S10" s="301"/>
      <c r="T10" s="297"/>
      <c r="U10" s="297"/>
      <c r="V10" s="297"/>
      <c r="W10" s="297"/>
      <c r="X10" s="297"/>
      <c r="Y10" s="298"/>
      <c r="Z10" s="7"/>
    </row>
    <row r="11" spans="1:26" ht="12.75" customHeight="1" x14ac:dyDescent="0.2">
      <c r="A11" s="6"/>
      <c r="B11" s="358" t="s">
        <v>194</v>
      </c>
      <c r="C11" s="359"/>
      <c r="D11" s="359"/>
      <c r="E11" s="359"/>
      <c r="F11" s="359"/>
      <c r="G11" s="354">
        <v>45169</v>
      </c>
      <c r="H11" s="354"/>
      <c r="I11" s="354"/>
      <c r="J11" s="354"/>
      <c r="K11" s="354"/>
      <c r="L11" s="355"/>
      <c r="M11" s="171" t="s">
        <v>147</v>
      </c>
      <c r="N11" s="172"/>
      <c r="O11" s="173"/>
      <c r="P11" s="171" t="s">
        <v>148</v>
      </c>
      <c r="Q11" s="172"/>
      <c r="R11" s="173"/>
      <c r="S11" s="171" t="s">
        <v>150</v>
      </c>
      <c r="T11" s="172"/>
      <c r="U11" s="172"/>
      <c r="V11" s="172"/>
      <c r="W11" s="172"/>
      <c r="X11" s="172"/>
      <c r="Y11" s="173"/>
      <c r="Z11" s="7"/>
    </row>
    <row r="12" spans="1:26" ht="13.5" customHeight="1" thickBot="1" x14ac:dyDescent="0.25">
      <c r="A12" s="6"/>
      <c r="B12" s="360"/>
      <c r="C12" s="361"/>
      <c r="D12" s="361"/>
      <c r="E12" s="361"/>
      <c r="F12" s="361"/>
      <c r="G12" s="356"/>
      <c r="H12" s="356"/>
      <c r="I12" s="356"/>
      <c r="J12" s="356"/>
      <c r="K12" s="356"/>
      <c r="L12" s="357"/>
      <c r="M12" s="174"/>
      <c r="N12" s="175"/>
      <c r="O12" s="176"/>
      <c r="P12" s="174"/>
      <c r="Q12" s="175"/>
      <c r="R12" s="176"/>
      <c r="S12" s="244"/>
      <c r="T12" s="245"/>
      <c r="U12" s="245"/>
      <c r="V12" s="245"/>
      <c r="W12" s="245"/>
      <c r="X12" s="245"/>
      <c r="Y12" s="246"/>
      <c r="Z12" s="7"/>
    </row>
    <row r="13" spans="1:26" ht="12.75" customHeight="1" thickBot="1" x14ac:dyDescent="0.25">
      <c r="A13" s="6"/>
      <c r="B13" s="9"/>
      <c r="C13" s="10"/>
      <c r="D13" s="10"/>
      <c r="E13" s="14"/>
      <c r="F13" s="14"/>
      <c r="G13" s="14"/>
      <c r="H13" s="14"/>
      <c r="I13" s="10"/>
      <c r="J13" s="14"/>
      <c r="K13" s="14"/>
      <c r="L13" s="11"/>
      <c r="M13" s="241"/>
      <c r="N13" s="235"/>
      <c r="O13" s="236"/>
      <c r="P13" s="241"/>
      <c r="Q13" s="235"/>
      <c r="R13" s="235"/>
      <c r="S13" s="143" t="s">
        <v>2</v>
      </c>
      <c r="T13" s="145"/>
      <c r="U13" s="161">
        <f>SUMIF(BOM!N:N,$S13,BOM!V:V)</f>
        <v>41.991000000000007</v>
      </c>
      <c r="V13" s="162"/>
      <c r="W13" s="143" t="s">
        <v>189</v>
      </c>
      <c r="X13" s="144"/>
      <c r="Y13" s="145"/>
      <c r="Z13" s="7"/>
    </row>
    <row r="14" spans="1:26" ht="12.75" customHeight="1" thickBot="1" x14ac:dyDescent="0.25">
      <c r="A14" s="6"/>
      <c r="B14" s="283" t="s">
        <v>154</v>
      </c>
      <c r="C14" s="284"/>
      <c r="D14" s="285"/>
      <c r="E14" s="305" t="s">
        <v>232</v>
      </c>
      <c r="F14" s="306"/>
      <c r="G14" s="306"/>
      <c r="H14" s="307"/>
      <c r="I14" s="15"/>
      <c r="J14" s="311"/>
      <c r="K14" s="299">
        <f>COUNTIF(Calculations!G:G,1)</f>
        <v>0</v>
      </c>
      <c r="L14" s="15"/>
      <c r="M14" s="242"/>
      <c r="N14" s="237"/>
      <c r="O14" s="238"/>
      <c r="P14" s="242"/>
      <c r="Q14" s="237"/>
      <c r="R14" s="237"/>
      <c r="S14" s="146"/>
      <c r="T14" s="148"/>
      <c r="U14" s="163"/>
      <c r="V14" s="164"/>
      <c r="W14" s="146"/>
      <c r="X14" s="147"/>
      <c r="Y14" s="148"/>
      <c r="Z14" s="7"/>
    </row>
    <row r="15" spans="1:26" ht="12.75" customHeight="1" thickBot="1" x14ac:dyDescent="0.25">
      <c r="A15" s="6"/>
      <c r="B15" s="286"/>
      <c r="C15" s="287"/>
      <c r="D15" s="288"/>
      <c r="E15" s="308"/>
      <c r="F15" s="309"/>
      <c r="G15" s="309"/>
      <c r="H15" s="310"/>
      <c r="I15" s="15"/>
      <c r="J15" s="312"/>
      <c r="K15" s="300"/>
      <c r="L15" s="15"/>
      <c r="M15" s="242"/>
      <c r="N15" s="237"/>
      <c r="O15" s="238"/>
      <c r="P15" s="242"/>
      <c r="Q15" s="237"/>
      <c r="R15" s="238"/>
      <c r="S15" s="143" t="s">
        <v>223</v>
      </c>
      <c r="T15" s="145"/>
      <c r="U15" s="161">
        <f>SUMIF(BOM!N:N,$S15,BOM!V:V)</f>
        <v>241.98800000000003</v>
      </c>
      <c r="V15" s="162"/>
      <c r="W15" s="186">
        <f>SUMIF(Calculations!M:M,"&gt;0",Calculations!M:M)</f>
        <v>65.160999999999987</v>
      </c>
      <c r="X15" s="187"/>
      <c r="Y15" s="188"/>
      <c r="Z15" s="7"/>
    </row>
    <row r="16" spans="1:26" ht="12.75" customHeight="1" thickBot="1" x14ac:dyDescent="0.25">
      <c r="A16" s="6"/>
      <c r="B16" s="8"/>
      <c r="E16" s="14"/>
      <c r="F16" s="10"/>
      <c r="G16" s="10"/>
      <c r="H16" s="14"/>
      <c r="I16" s="6"/>
      <c r="J16" s="313"/>
      <c r="K16" s="299">
        <f>COUNTIF(Calculations!L:L,1)</f>
        <v>0</v>
      </c>
      <c r="L16" s="15"/>
      <c r="M16" s="242"/>
      <c r="N16" s="237"/>
      <c r="O16" s="238"/>
      <c r="P16" s="242"/>
      <c r="Q16" s="237"/>
      <c r="R16" s="238"/>
      <c r="S16" s="146"/>
      <c r="T16" s="148"/>
      <c r="U16" s="163"/>
      <c r="V16" s="164"/>
      <c r="W16" s="189"/>
      <c r="X16" s="190"/>
      <c r="Y16" s="191"/>
      <c r="Z16" s="7"/>
    </row>
    <row r="17" spans="1:26" ht="12.75" customHeight="1" thickBot="1" x14ac:dyDescent="0.25">
      <c r="A17" s="6"/>
      <c r="B17" s="283" t="s">
        <v>153</v>
      </c>
      <c r="C17" s="284"/>
      <c r="D17" s="285"/>
      <c r="E17" s="201" t="str">
        <f>BOM!J5</f>
        <v>20</v>
      </c>
      <c r="F17" s="289" t="s">
        <v>155</v>
      </c>
      <c r="G17" s="285"/>
      <c r="H17" s="209">
        <f>COUNTIF(BOM!P:P,"&gt;=0")</f>
        <v>19</v>
      </c>
      <c r="I17" s="15"/>
      <c r="J17" s="314"/>
      <c r="K17" s="300"/>
      <c r="L17" s="15"/>
      <c r="M17" s="243"/>
      <c r="N17" s="239"/>
      <c r="O17" s="240"/>
      <c r="P17" s="243"/>
      <c r="Q17" s="239"/>
      <c r="R17" s="240"/>
      <c r="S17" s="143" t="s">
        <v>1</v>
      </c>
      <c r="T17" s="145"/>
      <c r="U17" s="161">
        <f>SUMIF(BOM!N:N,$S17,BOM!V:V)</f>
        <v>0</v>
      </c>
      <c r="V17" s="162"/>
      <c r="W17" s="192"/>
      <c r="X17" s="193"/>
      <c r="Y17" s="194"/>
      <c r="Z17" s="7"/>
    </row>
    <row r="18" spans="1:26" ht="12.75" customHeight="1" thickBot="1" x14ac:dyDescent="0.25">
      <c r="A18" s="6"/>
      <c r="B18" s="286"/>
      <c r="C18" s="287"/>
      <c r="D18" s="288"/>
      <c r="E18" s="202"/>
      <c r="F18" s="290"/>
      <c r="G18" s="288"/>
      <c r="H18" s="210"/>
      <c r="I18" s="15"/>
      <c r="J18" s="315"/>
      <c r="K18" s="299">
        <f>COUNTIF(Calculations!F:F,1)</f>
        <v>0</v>
      </c>
      <c r="L18" s="15"/>
      <c r="M18" s="171" t="s">
        <v>151</v>
      </c>
      <c r="N18" s="172"/>
      <c r="O18" s="172"/>
      <c r="P18" s="172"/>
      <c r="Q18" s="172"/>
      <c r="R18" s="173"/>
      <c r="S18" s="146"/>
      <c r="T18" s="148"/>
      <c r="U18" s="163"/>
      <c r="V18" s="164"/>
      <c r="W18" s="143" t="s">
        <v>228</v>
      </c>
      <c r="X18" s="144"/>
      <c r="Y18" s="145"/>
      <c r="Z18" s="7"/>
    </row>
    <row r="19" spans="1:26" ht="12.75" customHeight="1" thickBot="1" x14ac:dyDescent="0.25">
      <c r="A19" s="6"/>
      <c r="B19" s="8"/>
      <c r="E19" s="14"/>
      <c r="F19" s="5"/>
      <c r="G19" s="5"/>
      <c r="H19" s="14"/>
      <c r="I19" s="6"/>
      <c r="J19" s="316"/>
      <c r="K19" s="300"/>
      <c r="L19" s="15"/>
      <c r="M19" s="244"/>
      <c r="N19" s="245"/>
      <c r="O19" s="245"/>
      <c r="P19" s="245"/>
      <c r="Q19" s="245"/>
      <c r="R19" s="246"/>
      <c r="S19" s="143" t="s">
        <v>3</v>
      </c>
      <c r="T19" s="145"/>
      <c r="U19" s="161">
        <f>SUMIF(BOM!N:N,$S19,BOM!V:V)</f>
        <v>0</v>
      </c>
      <c r="V19" s="162"/>
      <c r="W19" s="146"/>
      <c r="X19" s="147"/>
      <c r="Y19" s="148"/>
      <c r="Z19" s="7"/>
    </row>
    <row r="20" spans="1:26" ht="12.75" customHeight="1" thickBot="1" x14ac:dyDescent="0.25">
      <c r="A20" s="6"/>
      <c r="B20" s="283" t="s">
        <v>152</v>
      </c>
      <c r="C20" s="284"/>
      <c r="D20" s="285"/>
      <c r="E20" s="203" t="str">
        <f>BOM!J4</f>
        <v>EPA-003150_01</v>
      </c>
      <c r="F20" s="204"/>
      <c r="G20" s="204"/>
      <c r="H20" s="205"/>
      <c r="I20" s="15"/>
      <c r="J20" s="317"/>
      <c r="K20" s="299">
        <f>COUNTIF(Calculations!J:J,1)</f>
        <v>0</v>
      </c>
      <c r="L20" s="15"/>
      <c r="M20" s="165" t="s">
        <v>276</v>
      </c>
      <c r="N20" s="166"/>
      <c r="O20" s="167"/>
      <c r="P20" s="165" t="s">
        <v>8</v>
      </c>
      <c r="Q20" s="166"/>
      <c r="R20" s="167"/>
      <c r="S20" s="147"/>
      <c r="T20" s="148"/>
      <c r="U20" s="163"/>
      <c r="V20" s="164"/>
      <c r="W20" s="186">
        <v>0</v>
      </c>
      <c r="X20" s="187"/>
      <c r="Y20" s="188"/>
      <c r="Z20" s="7"/>
    </row>
    <row r="21" spans="1:26" ht="12.75" customHeight="1" thickBot="1" x14ac:dyDescent="0.25">
      <c r="A21" s="6"/>
      <c r="B21" s="286"/>
      <c r="C21" s="287"/>
      <c r="D21" s="288"/>
      <c r="E21" s="206"/>
      <c r="F21" s="207"/>
      <c r="G21" s="207"/>
      <c r="H21" s="208"/>
      <c r="I21" s="15"/>
      <c r="J21" s="318"/>
      <c r="K21" s="300"/>
      <c r="L21" s="15"/>
      <c r="M21" s="168"/>
      <c r="N21" s="169"/>
      <c r="O21" s="170"/>
      <c r="P21" s="168"/>
      <c r="Q21" s="169"/>
      <c r="R21" s="170"/>
      <c r="S21" s="144" t="s">
        <v>4</v>
      </c>
      <c r="T21" s="145"/>
      <c r="U21" s="161">
        <f>SUMIF(BOM!N:N,$S21,BOM!V:V)</f>
        <v>0</v>
      </c>
      <c r="V21" s="162"/>
      <c r="W21" s="189"/>
      <c r="X21" s="190"/>
      <c r="Y21" s="191"/>
      <c r="Z21" s="7"/>
    </row>
    <row r="22" spans="1:26" ht="12.75" customHeight="1" thickBot="1" x14ac:dyDescent="0.25">
      <c r="A22" s="6"/>
      <c r="B22" s="8"/>
      <c r="C22" s="5"/>
      <c r="D22" s="5"/>
      <c r="E22" s="14"/>
      <c r="F22" s="14"/>
      <c r="G22" s="14"/>
      <c r="H22" s="14"/>
      <c r="I22" s="5"/>
      <c r="J22" s="14"/>
      <c r="K22" s="14"/>
      <c r="L22" s="6"/>
      <c r="M22" s="149" t="s">
        <v>277</v>
      </c>
      <c r="N22" s="155">
        <f>COUNTIF(Calculations!D:D,0)</f>
        <v>1</v>
      </c>
      <c r="O22" s="158">
        <f>$N$22/$H$17</f>
        <v>5.2631578947368418E-2</v>
      </c>
      <c r="P22" s="152" t="s">
        <v>278</v>
      </c>
      <c r="Q22" s="155">
        <f>COUNTIF(Calculations!A:A,2)</f>
        <v>2</v>
      </c>
      <c r="R22" s="158">
        <f>$Q$22/$H$17</f>
        <v>0.10526315789473684</v>
      </c>
      <c r="S22" s="147"/>
      <c r="T22" s="148"/>
      <c r="U22" s="163"/>
      <c r="V22" s="164"/>
      <c r="W22" s="192"/>
      <c r="X22" s="193"/>
      <c r="Y22" s="194"/>
      <c r="Z22" s="7"/>
    </row>
    <row r="23" spans="1:26" ht="12.75" customHeight="1" x14ac:dyDescent="0.2">
      <c r="A23" s="6"/>
      <c r="B23" s="16"/>
      <c r="C23" s="247" t="s">
        <v>164</v>
      </c>
      <c r="D23" s="248"/>
      <c r="E23" s="249"/>
      <c r="F23" s="277" t="s">
        <v>170</v>
      </c>
      <c r="G23" s="278"/>
      <c r="H23" s="274" t="s">
        <v>176</v>
      </c>
      <c r="I23" s="275"/>
      <c r="J23" s="275"/>
      <c r="K23" s="276"/>
      <c r="L23" s="15"/>
      <c r="M23" s="150"/>
      <c r="N23" s="156"/>
      <c r="O23" s="159"/>
      <c r="P23" s="153"/>
      <c r="Q23" s="156"/>
      <c r="R23" s="159"/>
      <c r="S23" s="144" t="s">
        <v>224</v>
      </c>
      <c r="T23" s="145"/>
      <c r="U23" s="161">
        <f>SUMIF(BOM!N:N,$S23,BOM!V:V)</f>
        <v>0</v>
      </c>
      <c r="V23" s="162"/>
      <c r="W23" s="143" t="s">
        <v>229</v>
      </c>
      <c r="X23" s="144"/>
      <c r="Y23" s="145"/>
      <c r="Z23" s="7"/>
    </row>
    <row r="24" spans="1:26" ht="12.75" customHeight="1" thickBot="1" x14ac:dyDescent="0.25">
      <c r="A24" s="6"/>
      <c r="B24" s="16"/>
      <c r="C24" s="250" t="s">
        <v>165</v>
      </c>
      <c r="D24" s="251"/>
      <c r="E24" s="252"/>
      <c r="F24" s="279" t="s">
        <v>171</v>
      </c>
      <c r="G24" s="280"/>
      <c r="H24" s="259" t="s">
        <v>177</v>
      </c>
      <c r="I24" s="260"/>
      <c r="J24" s="260"/>
      <c r="K24" s="261"/>
      <c r="L24" s="15"/>
      <c r="M24" s="150"/>
      <c r="N24" s="156"/>
      <c r="O24" s="159"/>
      <c r="P24" s="153"/>
      <c r="Q24" s="156"/>
      <c r="R24" s="159"/>
      <c r="S24" s="147"/>
      <c r="T24" s="148"/>
      <c r="U24" s="163"/>
      <c r="V24" s="164"/>
      <c r="W24" s="146"/>
      <c r="X24" s="147"/>
      <c r="Y24" s="148"/>
      <c r="Z24" s="7"/>
    </row>
    <row r="25" spans="1:26" ht="12.75" customHeight="1" thickBot="1" x14ac:dyDescent="0.25">
      <c r="A25" s="6"/>
      <c r="B25" s="16"/>
      <c r="C25" s="253" t="s">
        <v>166</v>
      </c>
      <c r="D25" s="254"/>
      <c r="E25" s="255"/>
      <c r="F25" s="279" t="s">
        <v>172</v>
      </c>
      <c r="G25" s="280"/>
      <c r="H25" s="259" t="s">
        <v>178</v>
      </c>
      <c r="I25" s="260"/>
      <c r="J25" s="260"/>
      <c r="K25" s="261"/>
      <c r="L25" s="15"/>
      <c r="M25" s="151"/>
      <c r="N25" s="157"/>
      <c r="O25" s="160"/>
      <c r="P25" s="154"/>
      <c r="Q25" s="157"/>
      <c r="R25" s="160"/>
      <c r="S25" s="144" t="s">
        <v>225</v>
      </c>
      <c r="T25" s="145"/>
      <c r="U25" s="161">
        <f>SUMIF(BOM!N:N,$S25,BOM!V:V)</f>
        <v>0</v>
      </c>
      <c r="V25" s="162"/>
      <c r="W25" s="226">
        <f>IFERROR(($W$15/$S$35),"0")</f>
        <v>3.8425408027814939E-2</v>
      </c>
      <c r="X25" s="227"/>
      <c r="Y25" s="228"/>
      <c r="Z25" s="7"/>
    </row>
    <row r="26" spans="1:26" ht="12.75" customHeight="1" thickBot="1" x14ac:dyDescent="0.25">
      <c r="A26" s="6"/>
      <c r="B26" s="16"/>
      <c r="C26" s="256" t="s">
        <v>167</v>
      </c>
      <c r="D26" s="257"/>
      <c r="E26" s="258"/>
      <c r="F26" s="279" t="s">
        <v>173</v>
      </c>
      <c r="G26" s="280"/>
      <c r="H26" s="259" t="s">
        <v>179</v>
      </c>
      <c r="I26" s="260"/>
      <c r="J26" s="260"/>
      <c r="K26" s="261"/>
      <c r="L26" s="15"/>
      <c r="M26" s="152" t="s">
        <v>188</v>
      </c>
      <c r="N26" s="155">
        <f>COUNTIF(Calculations!H:H,1)</f>
        <v>0</v>
      </c>
      <c r="O26" s="158">
        <f>IFERROR(N26/N22,0)</f>
        <v>0</v>
      </c>
      <c r="P26" s="149" t="s">
        <v>279</v>
      </c>
      <c r="Q26" s="155">
        <f>COUNTIF(Calculations!A:A,3)</f>
        <v>0</v>
      </c>
      <c r="R26" s="158">
        <f>$Q$26/$H$17</f>
        <v>0</v>
      </c>
      <c r="S26" s="146"/>
      <c r="T26" s="148"/>
      <c r="U26" s="163"/>
      <c r="V26" s="164"/>
      <c r="W26" s="229"/>
      <c r="X26" s="230"/>
      <c r="Y26" s="231"/>
      <c r="Z26" s="7"/>
    </row>
    <row r="27" spans="1:26" ht="12.75" customHeight="1" x14ac:dyDescent="0.2">
      <c r="A27" s="6"/>
      <c r="B27" s="16"/>
      <c r="C27" s="271" t="s">
        <v>168</v>
      </c>
      <c r="D27" s="272"/>
      <c r="E27" s="273"/>
      <c r="F27" s="279" t="s">
        <v>174</v>
      </c>
      <c r="G27" s="280"/>
      <c r="H27" s="259" t="s">
        <v>180</v>
      </c>
      <c r="I27" s="260"/>
      <c r="J27" s="260"/>
      <c r="K27" s="261"/>
      <c r="L27" s="15"/>
      <c r="M27" s="153"/>
      <c r="N27" s="156"/>
      <c r="O27" s="159"/>
      <c r="P27" s="150"/>
      <c r="Q27" s="156"/>
      <c r="R27" s="159"/>
      <c r="S27" s="143" t="s">
        <v>226</v>
      </c>
      <c r="T27" s="145"/>
      <c r="U27" s="161">
        <f>SUM(BOM!V:V)-SUM(Overview!U13:V26)</f>
        <v>1411.8</v>
      </c>
      <c r="V27" s="162"/>
      <c r="W27" s="229"/>
      <c r="X27" s="230"/>
      <c r="Y27" s="231"/>
      <c r="Z27" s="7"/>
    </row>
    <row r="28" spans="1:26" ht="12.75" customHeight="1" thickBot="1" x14ac:dyDescent="0.25">
      <c r="A28" s="6"/>
      <c r="B28" s="16"/>
      <c r="C28" s="302" t="s">
        <v>169</v>
      </c>
      <c r="D28" s="303"/>
      <c r="E28" s="304"/>
      <c r="F28" s="281" t="s">
        <v>175</v>
      </c>
      <c r="G28" s="282"/>
      <c r="H28" s="262" t="s">
        <v>181</v>
      </c>
      <c r="I28" s="263"/>
      <c r="J28" s="263"/>
      <c r="K28" s="264"/>
      <c r="L28" s="15"/>
      <c r="M28" s="153"/>
      <c r="N28" s="156"/>
      <c r="O28" s="159"/>
      <c r="P28" s="150"/>
      <c r="Q28" s="156"/>
      <c r="R28" s="159"/>
      <c r="S28" s="146"/>
      <c r="T28" s="148"/>
      <c r="U28" s="163"/>
      <c r="V28" s="164"/>
      <c r="W28" s="229"/>
      <c r="X28" s="230"/>
      <c r="Y28" s="231"/>
      <c r="Z28" s="7"/>
    </row>
    <row r="29" spans="1:26" ht="12.75" customHeight="1" thickBot="1" x14ac:dyDescent="0.25">
      <c r="A29" s="6"/>
      <c r="B29" s="12"/>
      <c r="C29" s="14"/>
      <c r="D29" s="14"/>
      <c r="E29" s="14"/>
      <c r="F29" s="14"/>
      <c r="G29" s="14"/>
      <c r="H29" s="14"/>
      <c r="I29" s="14"/>
      <c r="J29" s="14"/>
      <c r="K29" s="14"/>
      <c r="L29" s="13"/>
      <c r="M29" s="154"/>
      <c r="N29" s="157"/>
      <c r="O29" s="160"/>
      <c r="P29" s="151"/>
      <c r="Q29" s="157"/>
      <c r="R29" s="160"/>
      <c r="S29" s="143" t="s">
        <v>227</v>
      </c>
      <c r="T29" s="145"/>
      <c r="U29" s="161">
        <v>0</v>
      </c>
      <c r="V29" s="162"/>
      <c r="W29" s="229"/>
      <c r="X29" s="230"/>
      <c r="Y29" s="231"/>
      <c r="Z29" s="7"/>
    </row>
    <row r="30" spans="1:26" ht="12.75" customHeight="1" thickBot="1" x14ac:dyDescent="0.25">
      <c r="A30" s="6"/>
      <c r="B30" s="291" t="s">
        <v>33</v>
      </c>
      <c r="C30" s="292"/>
      <c r="D30" s="292"/>
      <c r="E30" s="292"/>
      <c r="F30" s="292"/>
      <c r="G30" s="292"/>
      <c r="H30" s="292"/>
      <c r="I30" s="292"/>
      <c r="J30" s="292"/>
      <c r="K30" s="292"/>
      <c r="L30" s="293"/>
      <c r="M30" s="294" t="s">
        <v>159</v>
      </c>
      <c r="N30" s="295"/>
      <c r="O30" s="295"/>
      <c r="P30" s="295"/>
      <c r="Q30" s="295"/>
      <c r="R30" s="293"/>
      <c r="S30" s="146"/>
      <c r="T30" s="148"/>
      <c r="U30" s="163"/>
      <c r="V30" s="164"/>
      <c r="W30" s="232"/>
      <c r="X30" s="233"/>
      <c r="Y30" s="234"/>
      <c r="Z30" s="7"/>
    </row>
    <row r="31" spans="1:26" ht="12.75" customHeight="1" x14ac:dyDescent="0.2">
      <c r="A31" s="6"/>
      <c r="B31" s="294"/>
      <c r="C31" s="295"/>
      <c r="D31" s="295"/>
      <c r="E31" s="295"/>
      <c r="F31" s="295"/>
      <c r="G31" s="295"/>
      <c r="H31" s="295"/>
      <c r="I31" s="295"/>
      <c r="J31" s="295"/>
      <c r="K31" s="295"/>
      <c r="L31" s="296"/>
      <c r="M31" s="294"/>
      <c r="N31" s="295"/>
      <c r="O31" s="295"/>
      <c r="P31" s="295"/>
      <c r="Q31" s="295"/>
      <c r="R31" s="295"/>
      <c r="S31" s="171" t="s">
        <v>5</v>
      </c>
      <c r="T31" s="172"/>
      <c r="U31" s="172"/>
      <c r="V31" s="172"/>
      <c r="W31" s="172"/>
      <c r="X31" s="172"/>
      <c r="Y31" s="173"/>
      <c r="Z31" s="7"/>
    </row>
    <row r="32" spans="1:26" ht="12.75" customHeight="1" thickBot="1" x14ac:dyDescent="0.25">
      <c r="A32" s="6"/>
      <c r="B32" s="294"/>
      <c r="C32" s="295"/>
      <c r="D32" s="295"/>
      <c r="E32" s="295"/>
      <c r="F32" s="295"/>
      <c r="G32" s="295"/>
      <c r="H32" s="295"/>
      <c r="I32" s="295"/>
      <c r="J32" s="297"/>
      <c r="K32" s="297"/>
      <c r="L32" s="298"/>
      <c r="M32" s="301"/>
      <c r="N32" s="297"/>
      <c r="O32" s="297"/>
      <c r="P32" s="297"/>
      <c r="Q32" s="297"/>
      <c r="R32" s="297"/>
      <c r="S32" s="174"/>
      <c r="T32" s="175"/>
      <c r="U32" s="175"/>
      <c r="V32" s="175"/>
      <c r="W32" s="175"/>
      <c r="X32" s="175"/>
      <c r="Y32" s="176"/>
      <c r="Z32" s="7"/>
    </row>
    <row r="33" spans="1:26" ht="12.75" customHeight="1" x14ac:dyDescent="0.2">
      <c r="A33" s="6"/>
      <c r="B33" s="171" t="s">
        <v>156</v>
      </c>
      <c r="C33" s="172"/>
      <c r="D33" s="171" t="s">
        <v>157</v>
      </c>
      <c r="E33" s="172"/>
      <c r="F33" s="172"/>
      <c r="G33" s="172"/>
      <c r="H33" s="172"/>
      <c r="I33" s="173"/>
      <c r="J33" s="172" t="s">
        <v>158</v>
      </c>
      <c r="K33" s="172"/>
      <c r="L33" s="173"/>
      <c r="M33" s="171" t="s">
        <v>160</v>
      </c>
      <c r="N33" s="172"/>
      <c r="O33" s="173"/>
      <c r="P33" s="171" t="s">
        <v>161</v>
      </c>
      <c r="Q33" s="172"/>
      <c r="R33" s="172"/>
      <c r="S33" s="165" t="s">
        <v>230</v>
      </c>
      <c r="T33" s="166"/>
      <c r="U33" s="167"/>
      <c r="V33" s="165" t="s">
        <v>6</v>
      </c>
      <c r="W33" s="166"/>
      <c r="X33" s="166"/>
      <c r="Y33" s="167"/>
      <c r="Z33" s="7"/>
    </row>
    <row r="34" spans="1:26" ht="12.75" customHeight="1" thickBot="1" x14ac:dyDescent="0.25">
      <c r="A34" s="6"/>
      <c r="B34" s="244"/>
      <c r="C34" s="245"/>
      <c r="D34" s="244"/>
      <c r="E34" s="245"/>
      <c r="F34" s="245"/>
      <c r="G34" s="245"/>
      <c r="H34" s="245"/>
      <c r="I34" s="246"/>
      <c r="J34" s="245"/>
      <c r="K34" s="245"/>
      <c r="L34" s="246"/>
      <c r="M34" s="174"/>
      <c r="N34" s="175"/>
      <c r="O34" s="176"/>
      <c r="P34" s="174"/>
      <c r="Q34" s="175"/>
      <c r="R34" s="175"/>
      <c r="S34" s="168"/>
      <c r="T34" s="169"/>
      <c r="U34" s="170"/>
      <c r="V34" s="168"/>
      <c r="W34" s="169"/>
      <c r="X34" s="169"/>
      <c r="Y34" s="170"/>
      <c r="Z34" s="7"/>
    </row>
    <row r="35" spans="1:26" ht="12.75" customHeight="1" x14ac:dyDescent="0.2">
      <c r="A35" s="6"/>
      <c r="B35" s="265"/>
      <c r="C35" s="266"/>
      <c r="D35" s="267"/>
      <c r="E35" s="268"/>
      <c r="F35" s="268"/>
      <c r="G35" s="268"/>
      <c r="H35" s="268"/>
      <c r="I35" s="269"/>
      <c r="J35" s="270"/>
      <c r="K35" s="268"/>
      <c r="L35" s="269"/>
      <c r="M35" s="235"/>
      <c r="N35" s="235"/>
      <c r="O35" s="236"/>
      <c r="P35" s="241"/>
      <c r="Q35" s="235"/>
      <c r="R35" s="235"/>
      <c r="S35" s="177">
        <f>SUM($U$13:$V$30)-$W$20</f>
        <v>1695.779</v>
      </c>
      <c r="T35" s="178"/>
      <c r="U35" s="179"/>
      <c r="V35" s="177">
        <f>Purchasing!$K$11</f>
        <v>1738.6000000000001</v>
      </c>
      <c r="W35" s="178"/>
      <c r="X35" s="178"/>
      <c r="Y35" s="179"/>
      <c r="Z35" s="7"/>
    </row>
    <row r="36" spans="1:26" ht="12.75" customHeight="1" x14ac:dyDescent="0.2">
      <c r="A36" s="6"/>
      <c r="B36" s="211"/>
      <c r="C36" s="212"/>
      <c r="D36" s="213"/>
      <c r="E36" s="214"/>
      <c r="F36" s="214"/>
      <c r="G36" s="214"/>
      <c r="H36" s="214"/>
      <c r="I36" s="215"/>
      <c r="J36" s="216"/>
      <c r="K36" s="214"/>
      <c r="L36" s="215"/>
      <c r="M36" s="237"/>
      <c r="N36" s="237"/>
      <c r="O36" s="238"/>
      <c r="P36" s="242"/>
      <c r="Q36" s="237"/>
      <c r="R36" s="237"/>
      <c r="S36" s="180"/>
      <c r="T36" s="181"/>
      <c r="U36" s="182"/>
      <c r="V36" s="180"/>
      <c r="W36" s="181"/>
      <c r="X36" s="181"/>
      <c r="Y36" s="182"/>
      <c r="Z36" s="7"/>
    </row>
    <row r="37" spans="1:26" ht="12.75" customHeight="1" x14ac:dyDescent="0.2">
      <c r="A37" s="6"/>
      <c r="B37" s="211"/>
      <c r="C37" s="212"/>
      <c r="D37" s="213"/>
      <c r="E37" s="214"/>
      <c r="F37" s="214"/>
      <c r="G37" s="214"/>
      <c r="H37" s="214"/>
      <c r="I37" s="215"/>
      <c r="J37" s="216"/>
      <c r="K37" s="214"/>
      <c r="L37" s="215"/>
      <c r="M37" s="237"/>
      <c r="N37" s="237"/>
      <c r="O37" s="238"/>
      <c r="P37" s="242"/>
      <c r="Q37" s="237"/>
      <c r="R37" s="237"/>
      <c r="S37" s="180"/>
      <c r="T37" s="181"/>
      <c r="U37" s="182"/>
      <c r="V37" s="180"/>
      <c r="W37" s="181"/>
      <c r="X37" s="181"/>
      <c r="Y37" s="182"/>
      <c r="Z37" s="7"/>
    </row>
    <row r="38" spans="1:26" ht="12.75" customHeight="1" thickBot="1" x14ac:dyDescent="0.25">
      <c r="A38" s="6"/>
      <c r="B38" s="211"/>
      <c r="C38" s="212"/>
      <c r="D38" s="213"/>
      <c r="E38" s="214"/>
      <c r="F38" s="214"/>
      <c r="G38" s="214"/>
      <c r="H38" s="214"/>
      <c r="I38" s="215"/>
      <c r="J38" s="216"/>
      <c r="K38" s="214"/>
      <c r="L38" s="215"/>
      <c r="M38" s="237"/>
      <c r="N38" s="237"/>
      <c r="O38" s="238"/>
      <c r="P38" s="242"/>
      <c r="Q38" s="237"/>
      <c r="R38" s="237"/>
      <c r="S38" s="183"/>
      <c r="T38" s="184"/>
      <c r="U38" s="185"/>
      <c r="V38" s="183"/>
      <c r="W38" s="184"/>
      <c r="X38" s="184"/>
      <c r="Y38" s="185"/>
      <c r="Z38" s="7"/>
    </row>
    <row r="39" spans="1:26" ht="12.75" customHeight="1" thickBot="1" x14ac:dyDescent="0.25">
      <c r="A39" s="6"/>
      <c r="B39" s="211"/>
      <c r="C39" s="212"/>
      <c r="D39" s="213"/>
      <c r="E39" s="214"/>
      <c r="F39" s="214"/>
      <c r="G39" s="214"/>
      <c r="H39" s="214"/>
      <c r="I39" s="215"/>
      <c r="J39" s="216"/>
      <c r="K39" s="214"/>
      <c r="L39" s="215"/>
      <c r="M39" s="239"/>
      <c r="N39" s="239"/>
      <c r="O39" s="240"/>
      <c r="P39" s="243"/>
      <c r="Q39" s="239"/>
      <c r="R39" s="239"/>
      <c r="S39" s="165" t="s">
        <v>231</v>
      </c>
      <c r="T39" s="166"/>
      <c r="U39" s="166"/>
      <c r="V39" s="166"/>
      <c r="W39" s="166"/>
      <c r="X39" s="166"/>
      <c r="Y39" s="167"/>
      <c r="Z39" s="7"/>
    </row>
    <row r="40" spans="1:26" ht="12.75" customHeight="1" thickBot="1" x14ac:dyDescent="0.25">
      <c r="A40" s="6"/>
      <c r="B40" s="211"/>
      <c r="C40" s="212"/>
      <c r="D40" s="213"/>
      <c r="E40" s="214"/>
      <c r="F40" s="214"/>
      <c r="G40" s="214"/>
      <c r="H40" s="214"/>
      <c r="I40" s="215"/>
      <c r="J40" s="216"/>
      <c r="K40" s="214"/>
      <c r="L40" s="215"/>
      <c r="M40" s="172" t="s">
        <v>162</v>
      </c>
      <c r="N40" s="172"/>
      <c r="O40" s="173"/>
      <c r="P40" s="171" t="s">
        <v>163</v>
      </c>
      <c r="Q40" s="172"/>
      <c r="R40" s="172"/>
      <c r="S40" s="168"/>
      <c r="T40" s="169"/>
      <c r="U40" s="169"/>
      <c r="V40" s="169"/>
      <c r="W40" s="169"/>
      <c r="X40" s="169"/>
      <c r="Y40" s="170"/>
      <c r="Z40" s="7"/>
    </row>
    <row r="41" spans="1:26" ht="12.75" customHeight="1" thickBot="1" x14ac:dyDescent="0.25">
      <c r="A41" s="6"/>
      <c r="B41" s="211"/>
      <c r="C41" s="212"/>
      <c r="D41" s="213"/>
      <c r="E41" s="214"/>
      <c r="F41" s="214"/>
      <c r="G41" s="214"/>
      <c r="H41" s="214"/>
      <c r="I41" s="215"/>
      <c r="J41" s="216"/>
      <c r="K41" s="214"/>
      <c r="L41" s="215"/>
      <c r="M41" s="175"/>
      <c r="N41" s="175"/>
      <c r="O41" s="176"/>
      <c r="P41" s="174"/>
      <c r="Q41" s="175"/>
      <c r="R41" s="176"/>
      <c r="S41" s="217">
        <f>$V$35-$S$35</f>
        <v>42.82100000000014</v>
      </c>
      <c r="T41" s="218"/>
      <c r="U41" s="218"/>
      <c r="V41" s="218"/>
      <c r="W41" s="218"/>
      <c r="X41" s="218"/>
      <c r="Y41" s="219"/>
      <c r="Z41" s="7"/>
    </row>
    <row r="42" spans="1:26" ht="12.75" customHeight="1" x14ac:dyDescent="0.2">
      <c r="A42" s="6"/>
      <c r="B42" s="211"/>
      <c r="C42" s="212"/>
      <c r="D42" s="213"/>
      <c r="E42" s="214"/>
      <c r="F42" s="214"/>
      <c r="G42" s="214"/>
      <c r="H42" s="214"/>
      <c r="I42" s="215"/>
      <c r="J42" s="216"/>
      <c r="K42" s="214"/>
      <c r="L42" s="215"/>
      <c r="M42" s="235"/>
      <c r="N42" s="235"/>
      <c r="O42" s="236"/>
      <c r="P42" s="241"/>
      <c r="Q42" s="235"/>
      <c r="R42" s="236"/>
      <c r="S42" s="220"/>
      <c r="T42" s="221"/>
      <c r="U42" s="221"/>
      <c r="V42" s="221"/>
      <c r="W42" s="221"/>
      <c r="X42" s="221"/>
      <c r="Y42" s="222"/>
      <c r="Z42" s="7"/>
    </row>
    <row r="43" spans="1:26" ht="12.75" customHeight="1" x14ac:dyDescent="0.2">
      <c r="A43" s="6"/>
      <c r="B43" s="211"/>
      <c r="C43" s="212"/>
      <c r="D43" s="213"/>
      <c r="E43" s="214"/>
      <c r="F43" s="214"/>
      <c r="G43" s="214"/>
      <c r="H43" s="214"/>
      <c r="I43" s="215"/>
      <c r="J43" s="216"/>
      <c r="K43" s="214"/>
      <c r="L43" s="215"/>
      <c r="M43" s="237"/>
      <c r="N43" s="237"/>
      <c r="O43" s="238"/>
      <c r="P43" s="242"/>
      <c r="Q43" s="237"/>
      <c r="R43" s="238"/>
      <c r="S43" s="220"/>
      <c r="T43" s="221"/>
      <c r="U43" s="221"/>
      <c r="V43" s="221"/>
      <c r="W43" s="221"/>
      <c r="X43" s="221"/>
      <c r="Y43" s="222"/>
      <c r="Z43" s="7"/>
    </row>
    <row r="44" spans="1:26" ht="12.75" customHeight="1" x14ac:dyDescent="0.2">
      <c r="A44" s="6"/>
      <c r="B44" s="211"/>
      <c r="C44" s="212"/>
      <c r="D44" s="213"/>
      <c r="E44" s="214"/>
      <c r="F44" s="214"/>
      <c r="G44" s="214"/>
      <c r="H44" s="214"/>
      <c r="I44" s="215"/>
      <c r="J44" s="216"/>
      <c r="K44" s="214"/>
      <c r="L44" s="215"/>
      <c r="M44" s="237"/>
      <c r="N44" s="237"/>
      <c r="O44" s="238"/>
      <c r="P44" s="242"/>
      <c r="Q44" s="237"/>
      <c r="R44" s="238"/>
      <c r="S44" s="220"/>
      <c r="T44" s="221"/>
      <c r="U44" s="221"/>
      <c r="V44" s="221"/>
      <c r="W44" s="221"/>
      <c r="X44" s="221"/>
      <c r="Y44" s="222"/>
      <c r="Z44" s="7"/>
    </row>
    <row r="45" spans="1:26" ht="12.75" customHeight="1" x14ac:dyDescent="0.2">
      <c r="A45" s="6"/>
      <c r="B45" s="211"/>
      <c r="C45" s="212"/>
      <c r="D45" s="213"/>
      <c r="E45" s="214"/>
      <c r="F45" s="214"/>
      <c r="G45" s="214"/>
      <c r="H45" s="214"/>
      <c r="I45" s="215"/>
      <c r="J45" s="216"/>
      <c r="K45" s="214"/>
      <c r="L45" s="215"/>
      <c r="M45" s="237"/>
      <c r="N45" s="237"/>
      <c r="O45" s="238"/>
      <c r="P45" s="242"/>
      <c r="Q45" s="237"/>
      <c r="R45" s="238"/>
      <c r="S45" s="220"/>
      <c r="T45" s="221"/>
      <c r="U45" s="221"/>
      <c r="V45" s="221"/>
      <c r="W45" s="221"/>
      <c r="X45" s="221"/>
      <c r="Y45" s="222"/>
      <c r="Z45" s="7"/>
    </row>
    <row r="46" spans="1:26" ht="12.75" customHeight="1" thickBot="1" x14ac:dyDescent="0.25">
      <c r="A46" s="6"/>
      <c r="B46" s="195"/>
      <c r="C46" s="196"/>
      <c r="D46" s="197"/>
      <c r="E46" s="198"/>
      <c r="F46" s="198"/>
      <c r="G46" s="198"/>
      <c r="H46" s="198"/>
      <c r="I46" s="199"/>
      <c r="J46" s="200"/>
      <c r="K46" s="198"/>
      <c r="L46" s="199"/>
      <c r="M46" s="239"/>
      <c r="N46" s="239"/>
      <c r="O46" s="240"/>
      <c r="P46" s="243"/>
      <c r="Q46" s="239"/>
      <c r="R46" s="240"/>
      <c r="S46" s="223"/>
      <c r="T46" s="224"/>
      <c r="U46" s="224"/>
      <c r="V46" s="224"/>
      <c r="W46" s="224"/>
      <c r="X46" s="224"/>
      <c r="Y46" s="225"/>
      <c r="Z46" s="7"/>
    </row>
    <row r="47" spans="1:26" ht="12.75" customHeight="1" x14ac:dyDescent="0.2"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</row>
  </sheetData>
  <mergeCells count="145">
    <mergeCell ref="Q5:Y7"/>
    <mergeCell ref="Q3:Y4"/>
    <mergeCell ref="J3:P3"/>
    <mergeCell ref="J4:P7"/>
    <mergeCell ref="B3:D7"/>
    <mergeCell ref="E3:I7"/>
    <mergeCell ref="G11:L12"/>
    <mergeCell ref="B11:F12"/>
    <mergeCell ref="M11:O12"/>
    <mergeCell ref="P11:R12"/>
    <mergeCell ref="S11:Y12"/>
    <mergeCell ref="S8:Y10"/>
    <mergeCell ref="M8:R10"/>
    <mergeCell ref="B8:L10"/>
    <mergeCell ref="B14:D15"/>
    <mergeCell ref="B17:D18"/>
    <mergeCell ref="B20:D21"/>
    <mergeCell ref="F17:G18"/>
    <mergeCell ref="B30:L32"/>
    <mergeCell ref="M18:R19"/>
    <mergeCell ref="M13:O17"/>
    <mergeCell ref="P13:R17"/>
    <mergeCell ref="K14:K15"/>
    <mergeCell ref="K16:K17"/>
    <mergeCell ref="K18:K19"/>
    <mergeCell ref="K20:K21"/>
    <mergeCell ref="M30:R32"/>
    <mergeCell ref="C28:E28"/>
    <mergeCell ref="E14:H15"/>
    <mergeCell ref="J14:J15"/>
    <mergeCell ref="J16:J17"/>
    <mergeCell ref="J18:J19"/>
    <mergeCell ref="J20:J21"/>
    <mergeCell ref="M20:O21"/>
    <mergeCell ref="P20:R21"/>
    <mergeCell ref="M33:O34"/>
    <mergeCell ref="P33:R34"/>
    <mergeCell ref="M40:O41"/>
    <mergeCell ref="P40:R41"/>
    <mergeCell ref="M35:O39"/>
    <mergeCell ref="P35:R39"/>
    <mergeCell ref="H23:K23"/>
    <mergeCell ref="F23:G23"/>
    <mergeCell ref="F24:G24"/>
    <mergeCell ref="F25:G25"/>
    <mergeCell ref="F26:G26"/>
    <mergeCell ref="F27:G27"/>
    <mergeCell ref="F28:G28"/>
    <mergeCell ref="Q26:Q29"/>
    <mergeCell ref="R22:R25"/>
    <mergeCell ref="R26:R29"/>
    <mergeCell ref="D37:I37"/>
    <mergeCell ref="J37:L37"/>
    <mergeCell ref="H24:K24"/>
    <mergeCell ref="H25:K25"/>
    <mergeCell ref="H26:K26"/>
    <mergeCell ref="H27:K27"/>
    <mergeCell ref="H28:K28"/>
    <mergeCell ref="B35:C35"/>
    <mergeCell ref="D35:I35"/>
    <mergeCell ref="J35:L35"/>
    <mergeCell ref="C27:E27"/>
    <mergeCell ref="S39:Y40"/>
    <mergeCell ref="S41:Y46"/>
    <mergeCell ref="W25:Y30"/>
    <mergeCell ref="W23:Y24"/>
    <mergeCell ref="W20:Y22"/>
    <mergeCell ref="D43:I43"/>
    <mergeCell ref="J43:L43"/>
    <mergeCell ref="B40:C40"/>
    <mergeCell ref="D40:I40"/>
    <mergeCell ref="J40:L40"/>
    <mergeCell ref="B41:C41"/>
    <mergeCell ref="D41:I41"/>
    <mergeCell ref="J41:L41"/>
    <mergeCell ref="B38:C38"/>
    <mergeCell ref="D38:I38"/>
    <mergeCell ref="J38:L38"/>
    <mergeCell ref="B39:C39"/>
    <mergeCell ref="D39:I39"/>
    <mergeCell ref="J39:L39"/>
    <mergeCell ref="M42:O46"/>
    <mergeCell ref="P42:R46"/>
    <mergeCell ref="B33:C34"/>
    <mergeCell ref="D33:I34"/>
    <mergeCell ref="J33:L34"/>
    <mergeCell ref="B46:C46"/>
    <mergeCell ref="D46:I46"/>
    <mergeCell ref="J46:L46"/>
    <mergeCell ref="E17:E18"/>
    <mergeCell ref="E20:H21"/>
    <mergeCell ref="H17:H18"/>
    <mergeCell ref="B44:C44"/>
    <mergeCell ref="D44:I44"/>
    <mergeCell ref="J44:L44"/>
    <mergeCell ref="B45:C45"/>
    <mergeCell ref="D45:I45"/>
    <mergeCell ref="J45:L45"/>
    <mergeCell ref="B42:C42"/>
    <mergeCell ref="D42:I42"/>
    <mergeCell ref="J42:L42"/>
    <mergeCell ref="B43:C43"/>
    <mergeCell ref="C23:E23"/>
    <mergeCell ref="C24:E24"/>
    <mergeCell ref="C25:E25"/>
    <mergeCell ref="C26:E26"/>
    <mergeCell ref="B36:C36"/>
    <mergeCell ref="D36:I36"/>
    <mergeCell ref="J36:L36"/>
    <mergeCell ref="B37:C37"/>
    <mergeCell ref="S33:U34"/>
    <mergeCell ref="V33:Y34"/>
    <mergeCell ref="S31:Y32"/>
    <mergeCell ref="S35:U38"/>
    <mergeCell ref="V35:Y38"/>
    <mergeCell ref="U21:V22"/>
    <mergeCell ref="S23:T24"/>
    <mergeCell ref="U23:V24"/>
    <mergeCell ref="S25:T26"/>
    <mergeCell ref="U25:V26"/>
    <mergeCell ref="S27:T28"/>
    <mergeCell ref="U27:V28"/>
    <mergeCell ref="S21:T22"/>
    <mergeCell ref="W13:Y14"/>
    <mergeCell ref="M22:M25"/>
    <mergeCell ref="M26:M29"/>
    <mergeCell ref="N22:N25"/>
    <mergeCell ref="N26:N29"/>
    <mergeCell ref="O22:O25"/>
    <mergeCell ref="O26:O29"/>
    <mergeCell ref="P22:P25"/>
    <mergeCell ref="P26:P29"/>
    <mergeCell ref="U13:V14"/>
    <mergeCell ref="S15:T16"/>
    <mergeCell ref="U15:V16"/>
    <mergeCell ref="W18:Y19"/>
    <mergeCell ref="S29:T30"/>
    <mergeCell ref="U29:V30"/>
    <mergeCell ref="S17:T18"/>
    <mergeCell ref="U17:V18"/>
    <mergeCell ref="S19:T20"/>
    <mergeCell ref="U19:V20"/>
    <mergeCell ref="W15:Y17"/>
    <mergeCell ref="S13:T14"/>
    <mergeCell ref="Q22:Q25"/>
  </mergeCells>
  <phoneticPr fontId="0" type="noConversion"/>
  <conditionalFormatting sqref="S41:Y46">
    <cfRule type="cellIs" dxfId="12" priority="1" operator="equal">
      <formula>0</formula>
    </cfRule>
    <cfRule type="cellIs" dxfId="11" priority="2" operator="greaterThanOrEqual">
      <formula>$V$35*0.1</formula>
    </cfRule>
    <cfRule type="cellIs" dxfId="10" priority="3" operator="lessThan">
      <formula>0</formula>
    </cfRule>
    <cfRule type="cellIs" dxfId="9" priority="4" operator="lessThan">
      <formula>$V$35*0.1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B0F0"/>
  </sheetPr>
  <dimension ref="A1:BH42"/>
  <sheetViews>
    <sheetView tabSelected="1" topLeftCell="G1" zoomScale="87" zoomScaleNormal="87" workbookViewId="0">
      <pane ySplit="9" topLeftCell="A10" activePane="bottomLeft" state="frozenSplit"/>
      <selection activeCell="I1" sqref="I1"/>
      <selection pane="bottomLeft" activeCell="O28" sqref="O28"/>
    </sheetView>
  </sheetViews>
  <sheetFormatPr defaultColWidth="11.5703125" defaultRowHeight="12.75" x14ac:dyDescent="0.2"/>
  <cols>
    <col min="1" max="1" width="16.140625" style="18" hidden="1" customWidth="1"/>
    <col min="2" max="2" width="14.28515625" style="18" hidden="1" customWidth="1"/>
    <col min="3" max="3" width="17" style="18" hidden="1" customWidth="1"/>
    <col min="4" max="4" width="27.140625" style="18" hidden="1" customWidth="1"/>
    <col min="5" max="5" width="15.7109375" style="18" hidden="1" customWidth="1"/>
    <col min="6" max="6" width="17.140625" style="18" hidden="1" customWidth="1"/>
    <col min="7" max="7" width="7.7109375" style="18" customWidth="1"/>
    <col min="8" max="8" width="14.140625" style="18" hidden="1" customWidth="1"/>
    <col min="9" max="9" width="16.85546875" style="18" bestFit="1" customWidth="1"/>
    <col min="10" max="10" width="7.140625" style="18" customWidth="1"/>
    <col min="11" max="11" width="24.28515625" style="18" customWidth="1"/>
    <col min="12" max="12" width="62.42578125" style="18" customWidth="1"/>
    <col min="13" max="13" width="49.85546875" style="18" customWidth="1"/>
    <col min="14" max="14" width="10" style="18" customWidth="1"/>
    <col min="15" max="15" width="22.42578125" style="21" bestFit="1" customWidth="1"/>
    <col min="16" max="16" width="7" style="18" customWidth="1"/>
    <col min="17" max="17" width="31.42578125" style="21" customWidth="1"/>
    <col min="18" max="18" width="7.140625" style="18" hidden="1" customWidth="1"/>
    <col min="19" max="19" width="10.28515625" style="18" hidden="1" customWidth="1"/>
    <col min="20" max="20" width="8.28515625" style="18" customWidth="1"/>
    <col min="21" max="21" width="9.28515625" style="18" hidden="1" customWidth="1"/>
    <col min="22" max="22" width="8.140625" style="18" hidden="1" customWidth="1"/>
    <col min="23" max="23" width="32.7109375" style="18" customWidth="1"/>
    <col min="24" max="27" width="11.5703125" style="18" hidden="1" customWidth="1"/>
    <col min="28" max="28" width="31.42578125" style="21" hidden="1" customWidth="1"/>
    <col min="29" max="29" width="22.42578125" style="21" hidden="1" customWidth="1"/>
    <col min="30" max="30" width="13.28515625" style="18" hidden="1" customWidth="1"/>
    <col min="31" max="31" width="9.140625" style="18" hidden="1" customWidth="1"/>
    <col min="32" max="32" width="11" style="18" hidden="1" customWidth="1"/>
    <col min="33" max="33" width="100.85546875" style="18" hidden="1" customWidth="1"/>
    <col min="34" max="34" width="12" style="18" hidden="1" customWidth="1"/>
    <col min="35" max="35" width="32.7109375" style="18" hidden="1" customWidth="1"/>
    <col min="36" max="40" width="12.7109375" style="18" hidden="1" customWidth="1"/>
    <col min="41" max="41" width="15.7109375" style="18" hidden="1" customWidth="1"/>
    <col min="42" max="49" width="0" style="18" hidden="1" customWidth="1"/>
    <col min="50" max="51" width="11.5703125" style="18" customWidth="1"/>
    <col min="52" max="16384" width="11.5703125" style="18"/>
  </cols>
  <sheetData>
    <row r="1" spans="1:51" ht="13.5" thickBot="1" x14ac:dyDescent="0.25">
      <c r="A1" s="18">
        <f>Calculations!$P$8</f>
        <v>1</v>
      </c>
      <c r="J1" s="372" t="s">
        <v>309</v>
      </c>
      <c r="K1" s="372"/>
      <c r="L1" s="372"/>
    </row>
    <row r="2" spans="1:51" ht="13.5" thickBot="1" x14ac:dyDescent="0.25">
      <c r="J2" s="372"/>
      <c r="K2" s="372"/>
      <c r="L2" s="372"/>
      <c r="Q2" s="366" t="s">
        <v>150</v>
      </c>
      <c r="R2" s="367"/>
      <c r="S2" s="367"/>
      <c r="T2" s="367"/>
      <c r="U2" s="367"/>
      <c r="V2" s="368"/>
    </row>
    <row r="3" spans="1:51" x14ac:dyDescent="0.2">
      <c r="B3" s="23"/>
      <c r="C3" s="23"/>
      <c r="D3" s="23"/>
      <c r="E3" s="23"/>
      <c r="H3" s="23"/>
      <c r="J3" s="371" t="s">
        <v>14</v>
      </c>
      <c r="K3" s="371"/>
      <c r="L3" s="371"/>
      <c r="M3" s="23"/>
      <c r="Q3" s="60" t="s">
        <v>230</v>
      </c>
      <c r="R3" s="373">
        <f>Overview!S35</f>
        <v>1695.779</v>
      </c>
      <c r="S3" s="374"/>
      <c r="T3" s="374"/>
      <c r="U3" s="374"/>
      <c r="V3" s="375"/>
    </row>
    <row r="4" spans="1:51" x14ac:dyDescent="0.2">
      <c r="B4" s="23"/>
      <c r="C4" s="23"/>
      <c r="D4" s="23"/>
      <c r="E4" s="23"/>
      <c r="H4" s="23"/>
      <c r="J4" s="371" t="s">
        <v>15</v>
      </c>
      <c r="K4" s="371"/>
      <c r="L4" s="371"/>
      <c r="M4" s="23"/>
      <c r="Q4" s="47" t="s">
        <v>233</v>
      </c>
      <c r="R4" s="376">
        <f>Overview!V35</f>
        <v>1738.6000000000001</v>
      </c>
      <c r="S4" s="377"/>
      <c r="T4" s="377"/>
      <c r="U4" s="377"/>
      <c r="V4" s="378"/>
    </row>
    <row r="5" spans="1:51" x14ac:dyDescent="0.2">
      <c r="B5" s="23"/>
      <c r="C5" s="23"/>
      <c r="D5" s="23"/>
      <c r="E5" s="23"/>
      <c r="H5" s="23"/>
      <c r="J5" s="371" t="s">
        <v>13</v>
      </c>
      <c r="K5" s="371"/>
      <c r="L5" s="371"/>
      <c r="M5" s="23"/>
      <c r="Q5" s="47" t="s">
        <v>189</v>
      </c>
      <c r="R5" s="376">
        <f>Overview!W15</f>
        <v>65.160999999999987</v>
      </c>
      <c r="S5" s="377"/>
      <c r="T5" s="377"/>
      <c r="U5" s="377"/>
      <c r="V5" s="378"/>
    </row>
    <row r="6" spans="1:51" x14ac:dyDescent="0.2">
      <c r="G6" s="17"/>
      <c r="J6" s="370">
        <f ca="1">TODAY()</f>
        <v>45174</v>
      </c>
      <c r="K6" s="370"/>
      <c r="L6" s="370"/>
      <c r="Q6" s="385" t="s">
        <v>231</v>
      </c>
      <c r="R6" s="379">
        <f>Overview!S41</f>
        <v>42.82100000000014</v>
      </c>
      <c r="S6" s="380"/>
      <c r="T6" s="380"/>
      <c r="U6" s="380"/>
      <c r="V6" s="381"/>
    </row>
    <row r="7" spans="1:51" ht="18.75" thickBot="1" x14ac:dyDescent="0.25">
      <c r="G7" s="23"/>
      <c r="J7" s="369" t="str">
        <f>"Buyer: " &amp; IFERROR(LEFT(Overview!E14,(FIND(" ",Overview!E14,1)-1)),Overview!E14)</f>
        <v>Buyer: Wioletta</v>
      </c>
      <c r="K7" s="369"/>
      <c r="L7" s="369"/>
      <c r="Q7" s="386"/>
      <c r="R7" s="382"/>
      <c r="S7" s="383"/>
      <c r="T7" s="383"/>
      <c r="U7" s="383"/>
      <c r="V7" s="384"/>
      <c r="W7" s="93" t="str">
        <f>"BOM Rev: " &amp; LOOKUP(2,1/(COUNTIF('Rev History'!$B$5:$B$19,"&gt;"&amp;'Rev History'!$B$5:$B$19&amp;"*")=0),'Rev History'!$B$5:$B$19)</f>
        <v>BOM Rev: A</v>
      </c>
      <c r="AX7" s="23" t="s">
        <v>308</v>
      </c>
    </row>
    <row r="8" spans="1:51" ht="13.5" thickBot="1" x14ac:dyDescent="0.25">
      <c r="G8" s="23"/>
      <c r="X8" s="362" t="s">
        <v>9</v>
      </c>
      <c r="Y8" s="364"/>
      <c r="Z8" s="364"/>
      <c r="AA8" s="365"/>
      <c r="AB8" s="362" t="s">
        <v>281</v>
      </c>
      <c r="AC8" s="364"/>
      <c r="AD8" s="364"/>
      <c r="AE8" s="364"/>
      <c r="AF8" s="364"/>
      <c r="AG8" s="364"/>
      <c r="AH8" s="365"/>
      <c r="AI8" s="362" t="s">
        <v>285</v>
      </c>
      <c r="AJ8" s="364"/>
      <c r="AK8" s="364"/>
      <c r="AL8" s="364"/>
      <c r="AM8" s="364"/>
      <c r="AN8" s="364"/>
      <c r="AO8" s="365"/>
      <c r="AP8" s="362" t="s">
        <v>289</v>
      </c>
      <c r="AQ8" s="364"/>
      <c r="AR8" s="364"/>
      <c r="AS8" s="364"/>
      <c r="AT8" s="365"/>
      <c r="AU8" s="46" t="s">
        <v>290</v>
      </c>
      <c r="AV8" s="364" t="s">
        <v>291</v>
      </c>
      <c r="AW8" s="365"/>
      <c r="AX8" s="362" t="s">
        <v>306</v>
      </c>
      <c r="AY8" s="363"/>
    </row>
    <row r="9" spans="1:51" x14ac:dyDescent="0.2">
      <c r="A9" s="46" t="s">
        <v>16</v>
      </c>
      <c r="B9" s="52" t="s">
        <v>17</v>
      </c>
      <c r="C9" s="52" t="s">
        <v>18</v>
      </c>
      <c r="D9" s="52" t="s">
        <v>19</v>
      </c>
      <c r="E9" s="52" t="s">
        <v>20</v>
      </c>
      <c r="F9" s="52" t="s">
        <v>21</v>
      </c>
      <c r="G9" s="52" t="s">
        <v>22</v>
      </c>
      <c r="H9" s="52" t="s">
        <v>23</v>
      </c>
      <c r="I9" s="52" t="s">
        <v>24</v>
      </c>
      <c r="J9" s="53" t="s">
        <v>217</v>
      </c>
      <c r="K9" s="52" t="s">
        <v>25</v>
      </c>
      <c r="L9" s="52" t="s">
        <v>26</v>
      </c>
      <c r="M9" s="52" t="s">
        <v>27</v>
      </c>
      <c r="N9" s="52" t="s">
        <v>218</v>
      </c>
      <c r="O9" s="52" t="s">
        <v>28</v>
      </c>
      <c r="P9" s="53" t="s">
        <v>219</v>
      </c>
      <c r="Q9" s="52" t="s">
        <v>29</v>
      </c>
      <c r="R9" s="52" t="s">
        <v>30</v>
      </c>
      <c r="S9" s="52" t="s">
        <v>31</v>
      </c>
      <c r="T9" s="53" t="s">
        <v>220</v>
      </c>
      <c r="U9" s="54" t="s">
        <v>221</v>
      </c>
      <c r="V9" s="55" t="s">
        <v>222</v>
      </c>
      <c r="W9" s="67" t="s">
        <v>33</v>
      </c>
      <c r="X9" s="45" t="s">
        <v>217</v>
      </c>
      <c r="Y9" s="43" t="s">
        <v>28</v>
      </c>
      <c r="Z9" s="43" t="s">
        <v>280</v>
      </c>
      <c r="AA9" s="107" t="s">
        <v>187</v>
      </c>
      <c r="AB9" s="45" t="s">
        <v>280</v>
      </c>
      <c r="AC9" s="43" t="s">
        <v>28</v>
      </c>
      <c r="AD9" s="43" t="s">
        <v>258</v>
      </c>
      <c r="AE9" s="43" t="s">
        <v>217</v>
      </c>
      <c r="AF9" s="43" t="s">
        <v>282</v>
      </c>
      <c r="AG9" s="43" t="s">
        <v>26</v>
      </c>
      <c r="AH9" s="107" t="s">
        <v>187</v>
      </c>
      <c r="AI9" s="45" t="s">
        <v>283</v>
      </c>
      <c r="AJ9" s="43" t="s">
        <v>258</v>
      </c>
      <c r="AK9" s="43" t="s">
        <v>26</v>
      </c>
      <c r="AL9" s="43" t="s">
        <v>172</v>
      </c>
      <c r="AM9" s="43" t="s">
        <v>173</v>
      </c>
      <c r="AN9" s="43" t="s">
        <v>187</v>
      </c>
      <c r="AO9" s="107" t="s">
        <v>284</v>
      </c>
      <c r="AP9" s="45" t="s">
        <v>258</v>
      </c>
      <c r="AQ9" s="43" t="s">
        <v>286</v>
      </c>
      <c r="AR9" s="43" t="s">
        <v>287</v>
      </c>
      <c r="AS9" s="43" t="s">
        <v>173</v>
      </c>
      <c r="AT9" s="107" t="s">
        <v>288</v>
      </c>
      <c r="AU9" s="45" t="s">
        <v>292</v>
      </c>
      <c r="AV9" s="43" t="s">
        <v>293</v>
      </c>
      <c r="AW9" s="107" t="s">
        <v>294</v>
      </c>
      <c r="AX9" s="45" t="s">
        <v>307</v>
      </c>
      <c r="AY9" s="106" t="s">
        <v>187</v>
      </c>
    </row>
    <row r="10" spans="1:51" ht="20.100000000000001" customHeight="1" x14ac:dyDescent="0.2">
      <c r="A10" s="61" t="s">
        <v>34</v>
      </c>
      <c r="B10" s="62" t="s">
        <v>270</v>
      </c>
      <c r="C10" s="62" t="s">
        <v>271</v>
      </c>
      <c r="D10" s="62" t="s">
        <v>34</v>
      </c>
      <c r="E10" s="62" t="s">
        <v>34</v>
      </c>
      <c r="F10" s="48" t="s">
        <v>362</v>
      </c>
      <c r="G10" s="62">
        <v>1</v>
      </c>
      <c r="H10" s="63" t="s">
        <v>35</v>
      </c>
      <c r="I10" s="63" t="s">
        <v>36</v>
      </c>
      <c r="J10" s="49">
        <v>4</v>
      </c>
      <c r="K10" s="63" t="s">
        <v>37</v>
      </c>
      <c r="L10" s="63" t="s">
        <v>38</v>
      </c>
      <c r="M10" s="63" t="s">
        <v>39</v>
      </c>
      <c r="N10" s="62" t="s">
        <v>2</v>
      </c>
      <c r="O10" s="48" t="s">
        <v>40</v>
      </c>
      <c r="P10" s="49">
        <v>80</v>
      </c>
      <c r="Q10" s="48" t="s">
        <v>41</v>
      </c>
      <c r="R10" s="62" t="s">
        <v>34</v>
      </c>
      <c r="S10" s="62" t="s">
        <v>34</v>
      </c>
      <c r="T10" s="49">
        <v>110</v>
      </c>
      <c r="U10" s="50">
        <v>0.14399999999999999</v>
      </c>
      <c r="V10" s="51">
        <f>$T10*$U10</f>
        <v>15.839999999999998</v>
      </c>
      <c r="W10" s="101" t="s">
        <v>34</v>
      </c>
      <c r="X10" s="103" t="str">
        <f>IF(Calculations!$A2=1,"P",IF(Calculations!$A2=2,"P","O"))</f>
        <v>P</v>
      </c>
      <c r="Y10" s="102" t="str">
        <f>IF(Calculations!$B2=1,"P","O")</f>
        <v>P</v>
      </c>
      <c r="Z10" s="102" t="str">
        <f>IF(Calculations!$C2=1,"P","O")</f>
        <v>O</v>
      </c>
      <c r="AA10" s="108" t="str">
        <f>IF(Calculations!$E2=1,"P","O")</f>
        <v>P</v>
      </c>
      <c r="AB10" s="142" t="s">
        <v>41</v>
      </c>
      <c r="AC10" s="124" t="s">
        <v>40</v>
      </c>
      <c r="AD10" s="114">
        <f>$T10-$P10</f>
        <v>30</v>
      </c>
      <c r="AE10" s="110">
        <v>110</v>
      </c>
      <c r="AF10" s="110">
        <v>0.14399999999999999</v>
      </c>
      <c r="AG10" s="110" t="s">
        <v>334</v>
      </c>
      <c r="AH10" s="116" t="s">
        <v>270</v>
      </c>
      <c r="AI10" s="111"/>
      <c r="AJ10" s="110"/>
      <c r="AK10" s="110"/>
      <c r="AL10" s="110"/>
      <c r="AM10" s="110"/>
      <c r="AN10" s="110"/>
      <c r="AO10" s="120"/>
      <c r="AP10" s="111"/>
      <c r="AQ10" s="110"/>
      <c r="AR10" s="110"/>
      <c r="AS10" s="110"/>
      <c r="AT10" s="120"/>
      <c r="AU10" s="111"/>
      <c r="AV10" s="126">
        <f>$U10-$AU10</f>
        <v>0.14399999999999999</v>
      </c>
      <c r="AW10" s="120">
        <f>($U10*$P10)-($AU10*$P10)</f>
        <v>11.52</v>
      </c>
      <c r="AX10" s="111">
        <v>110</v>
      </c>
      <c r="AY10" s="118" t="s">
        <v>367</v>
      </c>
    </row>
    <row r="11" spans="1:51" ht="20.100000000000001" customHeight="1" x14ac:dyDescent="0.2">
      <c r="A11" s="61" t="s">
        <v>34</v>
      </c>
      <c r="B11" s="62" t="s">
        <v>270</v>
      </c>
      <c r="C11" s="62" t="s">
        <v>271</v>
      </c>
      <c r="D11" s="62" t="s">
        <v>34</v>
      </c>
      <c r="E11" s="62" t="s">
        <v>34</v>
      </c>
      <c r="F11" s="62" t="s">
        <v>362</v>
      </c>
      <c r="G11" s="62">
        <v>2</v>
      </c>
      <c r="H11" s="63" t="s">
        <v>35</v>
      </c>
      <c r="I11" s="63" t="s">
        <v>42</v>
      </c>
      <c r="J11" s="49">
        <v>2</v>
      </c>
      <c r="K11" s="63" t="s">
        <v>43</v>
      </c>
      <c r="L11" s="63" t="s">
        <v>44</v>
      </c>
      <c r="M11" s="63" t="s">
        <v>45</v>
      </c>
      <c r="N11" s="62" t="s">
        <v>2</v>
      </c>
      <c r="O11" s="48" t="s">
        <v>46</v>
      </c>
      <c r="P11" s="49">
        <v>40</v>
      </c>
      <c r="Q11" s="48" t="s">
        <v>47</v>
      </c>
      <c r="R11" s="62" t="s">
        <v>34</v>
      </c>
      <c r="S11" s="62" t="s">
        <v>34</v>
      </c>
      <c r="T11" s="49">
        <v>90</v>
      </c>
      <c r="U11" s="50">
        <v>4.8999999999999998E-3</v>
      </c>
      <c r="V11" s="51">
        <f t="shared" ref="V11:V28" si="0">$T11*$U11</f>
        <v>0.441</v>
      </c>
      <c r="W11" s="101" t="s">
        <v>34</v>
      </c>
      <c r="X11" s="103" t="str">
        <f>IF(Calculations!$A3=1,"P",IF(Calculations!$A3=2,"P","O"))</f>
        <v>P</v>
      </c>
      <c r="Y11" s="102" t="str">
        <f>IF(Calculations!$B3=1,"P","O")</f>
        <v>P</v>
      </c>
      <c r="Z11" s="102" t="str">
        <f>IF(Calculations!$C3=1,"P","O")</f>
        <v>O</v>
      </c>
      <c r="AA11" s="108" t="str">
        <f>IF(Calculations!$E3=1,"P","O")</f>
        <v>P</v>
      </c>
      <c r="AB11" s="142" t="s">
        <v>47</v>
      </c>
      <c r="AC11" s="124" t="s">
        <v>46</v>
      </c>
      <c r="AD11" s="114">
        <f t="shared" ref="AD11:AD28" si="1">$T11-$P11</f>
        <v>50</v>
      </c>
      <c r="AE11" s="110">
        <v>90</v>
      </c>
      <c r="AF11" s="110">
        <v>4.8999999999999998E-3</v>
      </c>
      <c r="AG11" s="44" t="s">
        <v>335</v>
      </c>
      <c r="AH11" s="116" t="s">
        <v>270</v>
      </c>
      <c r="AI11" s="111"/>
      <c r="AJ11" s="110"/>
      <c r="AK11" s="110"/>
      <c r="AL11" s="110"/>
      <c r="AM11" s="110"/>
      <c r="AN11" s="110"/>
      <c r="AO11" s="120"/>
      <c r="AP11" s="111"/>
      <c r="AQ11" s="110"/>
      <c r="AR11" s="110"/>
      <c r="AS11" s="110"/>
      <c r="AT11" s="120"/>
      <c r="AU11" s="111"/>
      <c r="AV11" s="110">
        <f t="shared" ref="AV11:AV28" si="2">$U11-$AU11</f>
        <v>4.8999999999999998E-3</v>
      </c>
      <c r="AW11" s="120">
        <f t="shared" ref="AW11:AW28" si="3">($U11*$P11)-($AU11*$P11)</f>
        <v>0.19600000000000001</v>
      </c>
      <c r="AX11" s="111">
        <v>90</v>
      </c>
      <c r="AY11" s="118" t="s">
        <v>367</v>
      </c>
    </row>
    <row r="12" spans="1:51" ht="20.100000000000001" customHeight="1" x14ac:dyDescent="0.2">
      <c r="A12" s="61" t="s">
        <v>34</v>
      </c>
      <c r="B12" s="62" t="s">
        <v>270</v>
      </c>
      <c r="C12" s="62" t="s">
        <v>271</v>
      </c>
      <c r="D12" s="62" t="s">
        <v>34</v>
      </c>
      <c r="E12" s="62" t="s">
        <v>34</v>
      </c>
      <c r="F12" s="62" t="s">
        <v>362</v>
      </c>
      <c r="G12" s="62">
        <v>3</v>
      </c>
      <c r="H12" s="63" t="s">
        <v>35</v>
      </c>
      <c r="I12" s="63" t="s">
        <v>48</v>
      </c>
      <c r="J12" s="49">
        <v>1</v>
      </c>
      <c r="K12" s="63" t="s">
        <v>49</v>
      </c>
      <c r="L12" s="63" t="s">
        <v>50</v>
      </c>
      <c r="M12" s="63" t="s">
        <v>51</v>
      </c>
      <c r="N12" s="62" t="s">
        <v>2</v>
      </c>
      <c r="O12" s="48" t="s">
        <v>52</v>
      </c>
      <c r="P12" s="49">
        <v>20</v>
      </c>
      <c r="Q12" s="48" t="s">
        <v>53</v>
      </c>
      <c r="R12" s="62" t="s">
        <v>34</v>
      </c>
      <c r="S12" s="62" t="s">
        <v>34</v>
      </c>
      <c r="T12" s="49">
        <v>70</v>
      </c>
      <c r="U12" s="50">
        <v>2.5600000000000001E-2</v>
      </c>
      <c r="V12" s="51">
        <f t="shared" si="0"/>
        <v>1.792</v>
      </c>
      <c r="W12" s="101" t="s">
        <v>34</v>
      </c>
      <c r="X12" s="103" t="str">
        <f>IF(Calculations!$A4=1,"P",IF(Calculations!$A4=2,"P","O"))</f>
        <v>P</v>
      </c>
      <c r="Y12" s="102" t="str">
        <f>IF(Calculations!$B4=1,"P","O")</f>
        <v>P</v>
      </c>
      <c r="Z12" s="102" t="str">
        <f>IF(Calculations!$C4=1,"P","O")</f>
        <v>O</v>
      </c>
      <c r="AA12" s="108" t="str">
        <f>IF(Calculations!$E4=1,"P","O")</f>
        <v>P</v>
      </c>
      <c r="AB12" s="142" t="s">
        <v>53</v>
      </c>
      <c r="AC12" s="124" t="s">
        <v>52</v>
      </c>
      <c r="AD12" s="114">
        <f t="shared" si="1"/>
        <v>50</v>
      </c>
      <c r="AE12" s="110">
        <v>70</v>
      </c>
      <c r="AF12" s="110">
        <v>2.5600000000000001E-2</v>
      </c>
      <c r="AG12" s="110" t="s">
        <v>336</v>
      </c>
      <c r="AH12" s="116" t="s">
        <v>270</v>
      </c>
      <c r="AI12" s="111"/>
      <c r="AJ12" s="110"/>
      <c r="AK12" s="110"/>
      <c r="AL12" s="110"/>
      <c r="AM12" s="110"/>
      <c r="AN12" s="110"/>
      <c r="AO12" s="120"/>
      <c r="AP12" s="111"/>
      <c r="AQ12" s="110"/>
      <c r="AR12" s="110"/>
      <c r="AS12" s="110"/>
      <c r="AT12" s="120"/>
      <c r="AU12" s="111"/>
      <c r="AV12" s="110">
        <f t="shared" si="2"/>
        <v>2.5600000000000001E-2</v>
      </c>
      <c r="AW12" s="120">
        <f t="shared" si="3"/>
        <v>0.51200000000000001</v>
      </c>
      <c r="AX12" s="111">
        <v>70</v>
      </c>
      <c r="AY12" s="118" t="s">
        <v>367</v>
      </c>
    </row>
    <row r="13" spans="1:51" ht="20.100000000000001" customHeight="1" x14ac:dyDescent="0.2">
      <c r="A13" s="61" t="s">
        <v>34</v>
      </c>
      <c r="B13" s="62" t="s">
        <v>270</v>
      </c>
      <c r="C13" s="62" t="s">
        <v>271</v>
      </c>
      <c r="D13" s="62" t="s">
        <v>34</v>
      </c>
      <c r="E13" s="62" t="s">
        <v>34</v>
      </c>
      <c r="F13" s="62" t="s">
        <v>362</v>
      </c>
      <c r="G13" s="62">
        <v>4</v>
      </c>
      <c r="H13" s="63" t="s">
        <v>35</v>
      </c>
      <c r="I13" s="63" t="s">
        <v>54</v>
      </c>
      <c r="J13" s="49">
        <v>2</v>
      </c>
      <c r="K13" s="63" t="s">
        <v>55</v>
      </c>
      <c r="L13" s="63" t="s">
        <v>56</v>
      </c>
      <c r="M13" s="63" t="s">
        <v>57</v>
      </c>
      <c r="N13" s="62" t="s">
        <v>2</v>
      </c>
      <c r="O13" s="48" t="s">
        <v>58</v>
      </c>
      <c r="P13" s="49">
        <v>40</v>
      </c>
      <c r="Q13" s="48" t="s">
        <v>59</v>
      </c>
      <c r="R13" s="62" t="s">
        <v>34</v>
      </c>
      <c r="S13" s="62" t="s">
        <v>34</v>
      </c>
      <c r="T13" s="49">
        <v>90</v>
      </c>
      <c r="U13" s="50">
        <v>9.7999999999999997E-3</v>
      </c>
      <c r="V13" s="51">
        <f t="shared" si="0"/>
        <v>0.88200000000000001</v>
      </c>
      <c r="W13" s="101" t="s">
        <v>34</v>
      </c>
      <c r="X13" s="103" t="str">
        <f>IF(Calculations!$A5=1,"P",IF(Calculations!$A5=2,"P","O"))</f>
        <v>P</v>
      </c>
      <c r="Y13" s="102" t="str">
        <f>IF(Calculations!$B5=1,"P","O")</f>
        <v>P</v>
      </c>
      <c r="Z13" s="102" t="str">
        <f>IF(Calculations!$C5=1,"P","O")</f>
        <v>P</v>
      </c>
      <c r="AA13" s="108" t="str">
        <f>IF(Calculations!$E5=1,"P","O")</f>
        <v>P</v>
      </c>
      <c r="AB13" s="142" t="s">
        <v>59</v>
      </c>
      <c r="AC13" s="124" t="s">
        <v>58</v>
      </c>
      <c r="AD13" s="114">
        <f t="shared" si="1"/>
        <v>50</v>
      </c>
      <c r="AE13" s="110">
        <v>90</v>
      </c>
      <c r="AF13" s="110">
        <v>9.7999999999999997E-3</v>
      </c>
      <c r="AG13" s="110" t="s">
        <v>338</v>
      </c>
      <c r="AH13" s="116" t="s">
        <v>270</v>
      </c>
      <c r="AI13" s="111"/>
      <c r="AJ13" s="110"/>
      <c r="AK13" s="110"/>
      <c r="AL13" s="110"/>
      <c r="AM13" s="110"/>
      <c r="AN13" s="110"/>
      <c r="AO13" s="120"/>
      <c r="AP13" s="111"/>
      <c r="AQ13" s="110"/>
      <c r="AR13" s="110"/>
      <c r="AS13" s="110"/>
      <c r="AT13" s="120"/>
      <c r="AU13" s="111"/>
      <c r="AV13" s="110">
        <f t="shared" si="2"/>
        <v>9.7999999999999997E-3</v>
      </c>
      <c r="AW13" s="120">
        <f t="shared" si="3"/>
        <v>0.39200000000000002</v>
      </c>
      <c r="AX13" s="111">
        <v>90</v>
      </c>
      <c r="AY13" s="118" t="s">
        <v>367</v>
      </c>
    </row>
    <row r="14" spans="1:51" ht="20.100000000000001" customHeight="1" x14ac:dyDescent="0.2">
      <c r="A14" s="61" t="s">
        <v>34</v>
      </c>
      <c r="B14" s="62" t="s">
        <v>270</v>
      </c>
      <c r="C14" s="62" t="s">
        <v>271</v>
      </c>
      <c r="D14" s="62" t="s">
        <v>34</v>
      </c>
      <c r="E14" s="62" t="s">
        <v>34</v>
      </c>
      <c r="F14" s="62" t="s">
        <v>362</v>
      </c>
      <c r="G14" s="62">
        <v>5</v>
      </c>
      <c r="H14" s="63" t="s">
        <v>35</v>
      </c>
      <c r="I14" s="63" t="s">
        <v>60</v>
      </c>
      <c r="J14" s="49">
        <v>1</v>
      </c>
      <c r="K14" s="63" t="s">
        <v>61</v>
      </c>
      <c r="L14" s="63" t="s">
        <v>62</v>
      </c>
      <c r="M14" s="63" t="s">
        <v>63</v>
      </c>
      <c r="N14" s="62" t="s">
        <v>2</v>
      </c>
      <c r="O14" s="48" t="s">
        <v>64</v>
      </c>
      <c r="P14" s="49">
        <v>20</v>
      </c>
      <c r="Q14" s="48" t="s">
        <v>65</v>
      </c>
      <c r="R14" s="62" t="s">
        <v>34</v>
      </c>
      <c r="S14" s="62" t="s">
        <v>34</v>
      </c>
      <c r="T14" s="49">
        <v>70</v>
      </c>
      <c r="U14" s="50">
        <v>2.2599999999999999E-2</v>
      </c>
      <c r="V14" s="51">
        <f t="shared" si="0"/>
        <v>1.5819999999999999</v>
      </c>
      <c r="W14" s="101" t="s">
        <v>34</v>
      </c>
      <c r="X14" s="103" t="str">
        <f>IF(Calculations!$A6=1,"P",IF(Calculations!$A6=2,"P","O"))</f>
        <v>P</v>
      </c>
      <c r="Y14" s="102" t="str">
        <f>IF(Calculations!$B6=1,"P","O")</f>
        <v>P</v>
      </c>
      <c r="Z14" s="102" t="str">
        <f>IF(Calculations!$C6=1,"P","O")</f>
        <v>O</v>
      </c>
      <c r="AA14" s="108" t="str">
        <f>IF(Calculations!$E6=1,"P","O")</f>
        <v>P</v>
      </c>
      <c r="AB14" s="142" t="s">
        <v>65</v>
      </c>
      <c r="AC14" s="124" t="s">
        <v>64</v>
      </c>
      <c r="AD14" s="114">
        <f t="shared" si="1"/>
        <v>50</v>
      </c>
      <c r="AE14" s="110">
        <v>70</v>
      </c>
      <c r="AF14" s="110">
        <v>2.2599999999999999E-2</v>
      </c>
      <c r="AG14" s="110" t="s">
        <v>340</v>
      </c>
      <c r="AH14" s="116" t="s">
        <v>270</v>
      </c>
      <c r="AI14" s="111"/>
      <c r="AJ14" s="110"/>
      <c r="AK14" s="110"/>
      <c r="AL14" s="110"/>
      <c r="AM14" s="110"/>
      <c r="AN14" s="110"/>
      <c r="AO14" s="120"/>
      <c r="AP14" s="111"/>
      <c r="AQ14" s="110"/>
      <c r="AR14" s="110"/>
      <c r="AS14" s="110"/>
      <c r="AT14" s="120"/>
      <c r="AU14" s="111"/>
      <c r="AV14" s="110">
        <f t="shared" si="2"/>
        <v>2.2599999999999999E-2</v>
      </c>
      <c r="AW14" s="120">
        <f t="shared" si="3"/>
        <v>0.45199999999999996</v>
      </c>
      <c r="AX14" s="111">
        <v>70</v>
      </c>
      <c r="AY14" s="118" t="s">
        <v>367</v>
      </c>
    </row>
    <row r="15" spans="1:51" ht="20.100000000000001" customHeight="1" x14ac:dyDescent="0.2">
      <c r="A15" s="61" t="s">
        <v>34</v>
      </c>
      <c r="B15" s="62" t="s">
        <v>270</v>
      </c>
      <c r="C15" s="62" t="s">
        <v>271</v>
      </c>
      <c r="D15" s="62" t="s">
        <v>34</v>
      </c>
      <c r="E15" s="62" t="s">
        <v>34</v>
      </c>
      <c r="F15" s="62" t="s">
        <v>362</v>
      </c>
      <c r="G15" s="62">
        <v>6</v>
      </c>
      <c r="H15" s="63" t="s">
        <v>35</v>
      </c>
      <c r="I15" s="63" t="s">
        <v>66</v>
      </c>
      <c r="J15" s="49">
        <v>6</v>
      </c>
      <c r="K15" s="63" t="s">
        <v>67</v>
      </c>
      <c r="L15" s="63" t="s">
        <v>68</v>
      </c>
      <c r="M15" s="63" t="s">
        <v>69</v>
      </c>
      <c r="N15" s="62" t="s">
        <v>70</v>
      </c>
      <c r="O15" s="48" t="s">
        <v>71</v>
      </c>
      <c r="P15" s="49">
        <v>120</v>
      </c>
      <c r="Q15" s="48" t="s">
        <v>72</v>
      </c>
      <c r="R15" s="62" t="s">
        <v>34</v>
      </c>
      <c r="S15" s="62" t="s">
        <v>34</v>
      </c>
      <c r="T15" s="49">
        <v>140</v>
      </c>
      <c r="U15" s="50">
        <v>0.25469999999999998</v>
      </c>
      <c r="V15" s="51">
        <f t="shared" si="0"/>
        <v>35.657999999999994</v>
      </c>
      <c r="W15" s="101" t="s">
        <v>34</v>
      </c>
      <c r="X15" s="103" t="str">
        <f>IF(Calculations!$A7=1,"P",IF(Calculations!$A7=2,"P","O"))</f>
        <v>P</v>
      </c>
      <c r="Y15" s="102" t="str">
        <f>IF(Calculations!$B7=1,"P","O")</f>
        <v>P</v>
      </c>
      <c r="Z15" s="102" t="str">
        <f>IF(Calculations!$C7=1,"P","O")</f>
        <v>P</v>
      </c>
      <c r="AA15" s="108" t="str">
        <f>IF(Calculations!$E7=1,"P","O")</f>
        <v>P</v>
      </c>
      <c r="AB15" s="122" t="s">
        <v>72</v>
      </c>
      <c r="AC15" s="124" t="s">
        <v>71</v>
      </c>
      <c r="AD15" s="114">
        <f t="shared" si="1"/>
        <v>20</v>
      </c>
      <c r="AE15" s="110">
        <v>140</v>
      </c>
      <c r="AF15" s="110">
        <v>0.25469999999999998</v>
      </c>
      <c r="AG15" s="110" t="s">
        <v>356</v>
      </c>
      <c r="AH15" s="116" t="s">
        <v>270</v>
      </c>
      <c r="AI15" s="111"/>
      <c r="AJ15" s="110"/>
      <c r="AK15" s="110"/>
      <c r="AL15" s="110"/>
      <c r="AM15" s="110"/>
      <c r="AN15" s="110"/>
      <c r="AO15" s="120"/>
      <c r="AP15" s="111"/>
      <c r="AQ15" s="110"/>
      <c r="AR15" s="110"/>
      <c r="AS15" s="110"/>
      <c r="AT15" s="120"/>
      <c r="AU15" s="111"/>
      <c r="AV15" s="110">
        <f t="shared" si="2"/>
        <v>0.25469999999999998</v>
      </c>
      <c r="AW15" s="120">
        <f t="shared" si="3"/>
        <v>30.563999999999997</v>
      </c>
      <c r="AX15" s="111">
        <v>140</v>
      </c>
      <c r="AY15" s="118" t="s">
        <v>367</v>
      </c>
    </row>
    <row r="16" spans="1:51" ht="20.100000000000001" customHeight="1" x14ac:dyDescent="0.2">
      <c r="A16" s="61" t="s">
        <v>34</v>
      </c>
      <c r="B16" s="62" t="s">
        <v>270</v>
      </c>
      <c r="C16" s="62" t="s">
        <v>271</v>
      </c>
      <c r="D16" s="62" t="s">
        <v>34</v>
      </c>
      <c r="E16" s="62" t="s">
        <v>34</v>
      </c>
      <c r="F16" s="62" t="s">
        <v>362</v>
      </c>
      <c r="G16" s="62">
        <v>7</v>
      </c>
      <c r="H16" s="63" t="s">
        <v>35</v>
      </c>
      <c r="I16" s="63" t="s">
        <v>73</v>
      </c>
      <c r="J16" s="49">
        <v>2</v>
      </c>
      <c r="K16" s="63" t="s">
        <v>74</v>
      </c>
      <c r="L16" s="63" t="s">
        <v>75</v>
      </c>
      <c r="M16" s="63" t="s">
        <v>76</v>
      </c>
      <c r="N16" s="62" t="s">
        <v>2</v>
      </c>
      <c r="O16" s="48" t="s">
        <v>77</v>
      </c>
      <c r="P16" s="49">
        <v>40</v>
      </c>
      <c r="Q16" s="48" t="s">
        <v>78</v>
      </c>
      <c r="R16" s="62" t="s">
        <v>34</v>
      </c>
      <c r="S16" s="62" t="s">
        <v>34</v>
      </c>
      <c r="T16" s="49">
        <v>90</v>
      </c>
      <c r="U16" s="50">
        <v>9.7999999999999997E-3</v>
      </c>
      <c r="V16" s="51">
        <f t="shared" si="0"/>
        <v>0.88200000000000001</v>
      </c>
      <c r="W16" s="101" t="s">
        <v>34</v>
      </c>
      <c r="X16" s="103" t="str">
        <f>IF(Calculations!$A8=1,"P",IF(Calculations!$A8=2,"P","O"))</f>
        <v>P</v>
      </c>
      <c r="Y16" s="102" t="str">
        <f>IF(Calculations!$B8=1,"P","O")</f>
        <v>P</v>
      </c>
      <c r="Z16" s="102" t="str">
        <f>IF(Calculations!$C8=1,"P","O")</f>
        <v>P</v>
      </c>
      <c r="AA16" s="108" t="str">
        <f>IF(Calculations!$E8=1,"P","O")</f>
        <v>P</v>
      </c>
      <c r="AB16" s="142" t="s">
        <v>78</v>
      </c>
      <c r="AC16" s="124" t="s">
        <v>77</v>
      </c>
      <c r="AD16" s="114">
        <f t="shared" si="1"/>
        <v>50</v>
      </c>
      <c r="AE16" s="110">
        <v>90</v>
      </c>
      <c r="AF16" s="110">
        <v>9.7999999999999997E-3</v>
      </c>
      <c r="AG16" s="110" t="s">
        <v>341</v>
      </c>
      <c r="AH16" s="116" t="s">
        <v>270</v>
      </c>
      <c r="AI16" s="111"/>
      <c r="AJ16" s="110"/>
      <c r="AK16" s="110"/>
      <c r="AL16" s="110"/>
      <c r="AM16" s="110"/>
      <c r="AN16" s="110"/>
      <c r="AO16" s="120"/>
      <c r="AP16" s="111"/>
      <c r="AQ16" s="110"/>
      <c r="AR16" s="110"/>
      <c r="AS16" s="110"/>
      <c r="AT16" s="120"/>
      <c r="AU16" s="111"/>
      <c r="AV16" s="110">
        <f t="shared" si="2"/>
        <v>9.7999999999999997E-3</v>
      </c>
      <c r="AW16" s="120">
        <f t="shared" si="3"/>
        <v>0.39200000000000002</v>
      </c>
      <c r="AX16" s="111">
        <v>90</v>
      </c>
      <c r="AY16" s="118" t="s">
        <v>367</v>
      </c>
    </row>
    <row r="17" spans="1:60" ht="20.100000000000001" customHeight="1" x14ac:dyDescent="0.2">
      <c r="A17" s="61" t="s">
        <v>34</v>
      </c>
      <c r="B17" s="62" t="s">
        <v>270</v>
      </c>
      <c r="C17" s="62" t="s">
        <v>271</v>
      </c>
      <c r="D17" s="62" t="s">
        <v>34</v>
      </c>
      <c r="E17" s="62" t="s">
        <v>34</v>
      </c>
      <c r="F17" s="62" t="s">
        <v>362</v>
      </c>
      <c r="G17" s="62">
        <v>8</v>
      </c>
      <c r="H17" s="63" t="s">
        <v>35</v>
      </c>
      <c r="I17" s="63" t="s">
        <v>79</v>
      </c>
      <c r="J17" s="49">
        <v>1</v>
      </c>
      <c r="K17" s="63" t="s">
        <v>80</v>
      </c>
      <c r="L17" s="63" t="s">
        <v>81</v>
      </c>
      <c r="M17" s="63" t="s">
        <v>82</v>
      </c>
      <c r="N17" s="62" t="s">
        <v>2</v>
      </c>
      <c r="O17" s="48" t="s">
        <v>83</v>
      </c>
      <c r="P17" s="49">
        <v>20</v>
      </c>
      <c r="Q17" s="48" t="s">
        <v>84</v>
      </c>
      <c r="R17" s="62" t="s">
        <v>34</v>
      </c>
      <c r="S17" s="62" t="s">
        <v>34</v>
      </c>
      <c r="T17" s="49">
        <v>30</v>
      </c>
      <c r="U17" s="50">
        <v>6.83E-2</v>
      </c>
      <c r="V17" s="51">
        <f t="shared" si="0"/>
        <v>2.0489999999999999</v>
      </c>
      <c r="W17" s="101" t="s">
        <v>34</v>
      </c>
      <c r="X17" s="103" t="str">
        <f>IF(Calculations!$A9=1,"P",IF(Calculations!$A9=2,"P","O"))</f>
        <v>P</v>
      </c>
      <c r="Y17" s="102" t="str">
        <f>IF(Calculations!$B9=1,"P","O")</f>
        <v>P</v>
      </c>
      <c r="Z17" s="102" t="str">
        <f>IF(Calculations!$C9=1,"P","O")</f>
        <v>O</v>
      </c>
      <c r="AA17" s="108" t="str">
        <f>IF(Calculations!$E9=1,"P","O")</f>
        <v>P</v>
      </c>
      <c r="AB17" s="142" t="s">
        <v>84</v>
      </c>
      <c r="AC17" s="124" t="s">
        <v>83</v>
      </c>
      <c r="AD17" s="114">
        <f t="shared" si="1"/>
        <v>10</v>
      </c>
      <c r="AE17" s="110">
        <v>30</v>
      </c>
      <c r="AF17" s="110">
        <v>6.83E-2</v>
      </c>
      <c r="AG17" s="110" t="s">
        <v>343</v>
      </c>
      <c r="AH17" s="116" t="s">
        <v>270</v>
      </c>
      <c r="AI17" s="111"/>
      <c r="AJ17" s="110"/>
      <c r="AK17" s="110"/>
      <c r="AL17" s="110"/>
      <c r="AM17" s="110"/>
      <c r="AN17" s="110"/>
      <c r="AO17" s="120"/>
      <c r="AP17" s="111"/>
      <c r="AQ17" s="110"/>
      <c r="AR17" s="110"/>
      <c r="AS17" s="110"/>
      <c r="AT17" s="120"/>
      <c r="AU17" s="111"/>
      <c r="AV17" s="110">
        <f t="shared" si="2"/>
        <v>6.83E-2</v>
      </c>
      <c r="AW17" s="120">
        <f t="shared" si="3"/>
        <v>1.3660000000000001</v>
      </c>
      <c r="AX17" s="111">
        <v>30</v>
      </c>
      <c r="AY17" s="118" t="s">
        <v>367</v>
      </c>
    </row>
    <row r="18" spans="1:60" ht="20.100000000000001" customHeight="1" x14ac:dyDescent="0.2">
      <c r="A18" s="61" t="s">
        <v>34</v>
      </c>
      <c r="B18" s="62" t="s">
        <v>270</v>
      </c>
      <c r="C18" s="62" t="s">
        <v>271</v>
      </c>
      <c r="D18" s="62" t="s">
        <v>34</v>
      </c>
      <c r="E18" s="62" t="s">
        <v>34</v>
      </c>
      <c r="F18" s="62" t="s">
        <v>362</v>
      </c>
      <c r="G18" s="62">
        <v>9</v>
      </c>
      <c r="H18" s="63" t="s">
        <v>35</v>
      </c>
      <c r="I18" s="63" t="s">
        <v>85</v>
      </c>
      <c r="J18" s="49">
        <v>1</v>
      </c>
      <c r="K18" s="63" t="s">
        <v>86</v>
      </c>
      <c r="L18" s="63" t="s">
        <v>87</v>
      </c>
      <c r="M18" s="133" t="s">
        <v>88</v>
      </c>
      <c r="N18" s="135" t="s">
        <v>330</v>
      </c>
      <c r="O18" s="134" t="s">
        <v>331</v>
      </c>
      <c r="P18" s="49">
        <v>20</v>
      </c>
      <c r="Q18" s="134" t="s">
        <v>331</v>
      </c>
      <c r="R18" s="62" t="s">
        <v>34</v>
      </c>
      <c r="S18" s="62" t="s">
        <v>34</v>
      </c>
      <c r="T18" s="49">
        <v>20</v>
      </c>
      <c r="U18" s="50">
        <v>66.39</v>
      </c>
      <c r="V18" s="51">
        <f t="shared" si="0"/>
        <v>1327.8</v>
      </c>
      <c r="W18" s="138" t="s">
        <v>313</v>
      </c>
      <c r="X18" s="103" t="str">
        <f>IF(Calculations!$A10=1,"P",IF(Calculations!$A10=2,"P","O"))</f>
        <v>P</v>
      </c>
      <c r="Y18" s="102" t="str">
        <f>IF(Calculations!$B10=1,"P","O")</f>
        <v>P</v>
      </c>
      <c r="Z18" s="102" t="str">
        <f>IF(Calculations!$C10=1,"P","O")</f>
        <v>P</v>
      </c>
      <c r="AA18" s="108" t="str">
        <f>IF(Calculations!$E10=1,"P","O")</f>
        <v>P</v>
      </c>
      <c r="AB18" s="122"/>
      <c r="AC18" s="124"/>
      <c r="AD18" s="114">
        <f t="shared" si="1"/>
        <v>0</v>
      </c>
      <c r="AE18" s="110"/>
      <c r="AF18" s="110"/>
      <c r="AG18" s="110"/>
      <c r="AH18" s="116"/>
      <c r="AI18" s="111"/>
      <c r="AJ18" s="110"/>
      <c r="AK18" s="110"/>
      <c r="AL18" s="110"/>
      <c r="AM18" s="110"/>
      <c r="AN18" s="110"/>
      <c r="AO18" s="120"/>
      <c r="AP18" s="111"/>
      <c r="AQ18" s="110"/>
      <c r="AR18" s="110"/>
      <c r="AS18" s="110"/>
      <c r="AT18" s="120"/>
      <c r="AU18" s="111"/>
      <c r="AV18" s="110">
        <f t="shared" si="2"/>
        <v>66.39</v>
      </c>
      <c r="AW18" s="120">
        <f t="shared" si="3"/>
        <v>1327.8</v>
      </c>
      <c r="AX18" s="111"/>
      <c r="AY18" s="118"/>
    </row>
    <row r="19" spans="1:60" ht="20.100000000000001" customHeight="1" x14ac:dyDescent="0.2">
      <c r="A19" s="61" t="s">
        <v>34</v>
      </c>
      <c r="B19" s="62" t="s">
        <v>270</v>
      </c>
      <c r="C19" s="62" t="s">
        <v>271</v>
      </c>
      <c r="D19" s="62" t="s">
        <v>34</v>
      </c>
      <c r="E19" s="62" t="s">
        <v>34</v>
      </c>
      <c r="F19" s="62" t="s">
        <v>362</v>
      </c>
      <c r="G19" s="62">
        <v>10</v>
      </c>
      <c r="H19" s="63" t="s">
        <v>35</v>
      </c>
      <c r="I19" s="63" t="s">
        <v>89</v>
      </c>
      <c r="J19" s="49">
        <v>1</v>
      </c>
      <c r="K19" s="63" t="s">
        <v>90</v>
      </c>
      <c r="L19" s="63" t="s">
        <v>91</v>
      </c>
      <c r="M19" s="133" t="s">
        <v>92</v>
      </c>
      <c r="N19" s="135" t="s">
        <v>311</v>
      </c>
      <c r="O19" s="134" t="s">
        <v>312</v>
      </c>
      <c r="P19" s="49">
        <v>20</v>
      </c>
      <c r="Q19" s="134" t="s">
        <v>312</v>
      </c>
      <c r="R19" s="62" t="s">
        <v>34</v>
      </c>
      <c r="S19" s="62" t="s">
        <v>34</v>
      </c>
      <c r="T19" s="49">
        <v>25</v>
      </c>
      <c r="U19" s="50">
        <v>1.68</v>
      </c>
      <c r="V19" s="51">
        <f t="shared" si="0"/>
        <v>42</v>
      </c>
      <c r="W19" s="101" t="s">
        <v>34</v>
      </c>
      <c r="X19" s="103" t="str">
        <f>IF(Calculations!$A11=1,"P",IF(Calculations!$A11=2,"P","O"))</f>
        <v>P</v>
      </c>
      <c r="Y19" s="102" t="str">
        <f>IF(Calculations!$B11=1,"P","O")</f>
        <v>P</v>
      </c>
      <c r="Z19" s="102" t="str">
        <f>IF(Calculations!$C11=1,"P","O")</f>
        <v>P</v>
      </c>
      <c r="AA19" s="108" t="str">
        <f>IF(Calculations!$E11=1,"P","O")</f>
        <v>P</v>
      </c>
      <c r="AB19" s="122"/>
      <c r="AC19" s="124"/>
      <c r="AD19" s="114">
        <f t="shared" si="1"/>
        <v>5</v>
      </c>
      <c r="AE19" s="110"/>
      <c r="AF19" s="110"/>
      <c r="AG19" s="110"/>
      <c r="AH19" s="116"/>
      <c r="AI19" s="111"/>
      <c r="AJ19" s="110"/>
      <c r="AK19" s="110"/>
      <c r="AL19" s="110"/>
      <c r="AM19" s="110"/>
      <c r="AN19" s="110"/>
      <c r="AO19" s="120"/>
      <c r="AP19" s="111"/>
      <c r="AQ19" s="110"/>
      <c r="AR19" s="110"/>
      <c r="AS19" s="110"/>
      <c r="AT19" s="120"/>
      <c r="AU19" s="111"/>
      <c r="AV19" s="110">
        <f t="shared" si="2"/>
        <v>1.68</v>
      </c>
      <c r="AW19" s="120">
        <f t="shared" si="3"/>
        <v>33.6</v>
      </c>
      <c r="AX19" s="111">
        <v>25</v>
      </c>
      <c r="AY19" s="118" t="s">
        <v>367</v>
      </c>
    </row>
    <row r="20" spans="1:60" ht="20.100000000000001" customHeight="1" x14ac:dyDescent="0.2">
      <c r="A20" s="61" t="s">
        <v>34</v>
      </c>
      <c r="B20" s="62" t="s">
        <v>270</v>
      </c>
      <c r="C20" s="62" t="s">
        <v>271</v>
      </c>
      <c r="D20" s="62" t="s">
        <v>34</v>
      </c>
      <c r="E20" s="62" t="s">
        <v>34</v>
      </c>
      <c r="F20" s="62" t="s">
        <v>362</v>
      </c>
      <c r="G20" s="62">
        <v>11</v>
      </c>
      <c r="H20" s="63" t="s">
        <v>35</v>
      </c>
      <c r="I20" s="63" t="s">
        <v>93</v>
      </c>
      <c r="J20" s="49">
        <v>1</v>
      </c>
      <c r="K20" s="63" t="s">
        <v>94</v>
      </c>
      <c r="L20" s="63" t="s">
        <v>95</v>
      </c>
      <c r="M20" s="133" t="s">
        <v>96</v>
      </c>
      <c r="N20" s="135" t="s">
        <v>311</v>
      </c>
      <c r="O20" s="134" t="s">
        <v>310</v>
      </c>
      <c r="P20" s="49">
        <v>20</v>
      </c>
      <c r="Q20" s="134" t="s">
        <v>310</v>
      </c>
      <c r="R20" s="62" t="s">
        <v>34</v>
      </c>
      <c r="S20" s="62" t="s">
        <v>34</v>
      </c>
      <c r="T20" s="49">
        <v>25</v>
      </c>
      <c r="U20" s="50">
        <v>1.68</v>
      </c>
      <c r="V20" s="51">
        <f t="shared" si="0"/>
        <v>42</v>
      </c>
      <c r="W20" s="101" t="s">
        <v>34</v>
      </c>
      <c r="X20" s="103" t="str">
        <f>IF(Calculations!$A12=1,"P",IF(Calculations!$A12=2,"P","O"))</f>
        <v>P</v>
      </c>
      <c r="Y20" s="102" t="str">
        <f>IF(Calculations!$B12=1,"P","O")</f>
        <v>P</v>
      </c>
      <c r="Z20" s="102" t="str">
        <f>IF(Calculations!$C12=1,"P","O")</f>
        <v>P</v>
      </c>
      <c r="AA20" s="108" t="str">
        <f>IF(Calculations!$E12=1,"P","O")</f>
        <v>P</v>
      </c>
      <c r="AB20" s="122"/>
      <c r="AC20" s="124"/>
      <c r="AD20" s="114">
        <f t="shared" si="1"/>
        <v>5</v>
      </c>
      <c r="AE20" s="110"/>
      <c r="AF20" s="110"/>
      <c r="AG20" s="110"/>
      <c r="AH20" s="116"/>
      <c r="AI20" s="111"/>
      <c r="AJ20" s="110"/>
      <c r="AK20" s="110"/>
      <c r="AL20" s="110"/>
      <c r="AM20" s="110"/>
      <c r="AN20" s="110"/>
      <c r="AO20" s="120"/>
      <c r="AP20" s="111"/>
      <c r="AQ20" s="110"/>
      <c r="AR20" s="110"/>
      <c r="AS20" s="110"/>
      <c r="AT20" s="120"/>
      <c r="AU20" s="111"/>
      <c r="AV20" s="110">
        <f t="shared" si="2"/>
        <v>1.68</v>
      </c>
      <c r="AW20" s="120">
        <f t="shared" si="3"/>
        <v>33.6</v>
      </c>
      <c r="AX20" s="111">
        <v>25</v>
      </c>
      <c r="AY20" s="118" t="s">
        <v>367</v>
      </c>
    </row>
    <row r="21" spans="1:60" ht="20.100000000000001" customHeight="1" x14ac:dyDescent="0.2">
      <c r="A21" s="61" t="s">
        <v>34</v>
      </c>
      <c r="B21" s="62" t="s">
        <v>270</v>
      </c>
      <c r="C21" s="62" t="s">
        <v>271</v>
      </c>
      <c r="D21" s="62" t="s">
        <v>34</v>
      </c>
      <c r="E21" s="62" t="s">
        <v>34</v>
      </c>
      <c r="F21" s="62" t="s">
        <v>362</v>
      </c>
      <c r="G21" s="62">
        <v>12</v>
      </c>
      <c r="H21" s="63" t="s">
        <v>35</v>
      </c>
      <c r="I21" s="63" t="s">
        <v>97</v>
      </c>
      <c r="J21" s="49">
        <v>1</v>
      </c>
      <c r="K21" s="63" t="s">
        <v>98</v>
      </c>
      <c r="L21" s="63" t="s">
        <v>99</v>
      </c>
      <c r="M21" s="63" t="s">
        <v>100</v>
      </c>
      <c r="N21" s="62" t="s">
        <v>2</v>
      </c>
      <c r="O21" s="48" t="s">
        <v>101</v>
      </c>
      <c r="P21" s="49">
        <v>20</v>
      </c>
      <c r="Q21" s="48" t="s">
        <v>102</v>
      </c>
      <c r="R21" s="62" t="s">
        <v>34</v>
      </c>
      <c r="S21" s="62" t="s">
        <v>34</v>
      </c>
      <c r="T21" s="49">
        <v>30</v>
      </c>
      <c r="U21" s="50">
        <v>0.32100000000000001</v>
      </c>
      <c r="V21" s="51">
        <f t="shared" si="0"/>
        <v>9.6300000000000008</v>
      </c>
      <c r="W21" s="101" t="s">
        <v>34</v>
      </c>
      <c r="X21" s="103" t="str">
        <f>IF(Calculations!$A13=1,"P",IF(Calculations!$A13=2,"P","O"))</f>
        <v>P</v>
      </c>
      <c r="Y21" s="102" t="str">
        <f>IF(Calculations!$B13=1,"P","O")</f>
        <v>P</v>
      </c>
      <c r="Z21" s="102" t="str">
        <f>IF(Calculations!$C13=1,"P","O")</f>
        <v>O</v>
      </c>
      <c r="AA21" s="108" t="str">
        <f>IF(Calculations!$E13=1,"P","O")</f>
        <v>P</v>
      </c>
      <c r="AB21" s="142" t="s">
        <v>102</v>
      </c>
      <c r="AC21" s="124" t="s">
        <v>101</v>
      </c>
      <c r="AD21" s="114">
        <f t="shared" si="1"/>
        <v>10</v>
      </c>
      <c r="AE21" s="110">
        <v>30</v>
      </c>
      <c r="AF21" s="110">
        <v>0.32100000000000001</v>
      </c>
      <c r="AG21" s="110" t="s">
        <v>345</v>
      </c>
      <c r="AH21" s="116" t="s">
        <v>270</v>
      </c>
      <c r="AI21" s="111"/>
      <c r="AJ21" s="110"/>
      <c r="AK21" s="110"/>
      <c r="AL21" s="110"/>
      <c r="AM21" s="110"/>
      <c r="AN21" s="110"/>
      <c r="AO21" s="120"/>
      <c r="AP21" s="111"/>
      <c r="AQ21" s="110"/>
      <c r="AR21" s="110"/>
      <c r="AS21" s="110"/>
      <c r="AT21" s="120"/>
      <c r="AU21" s="111"/>
      <c r="AV21" s="110">
        <f t="shared" si="2"/>
        <v>0.32100000000000001</v>
      </c>
      <c r="AW21" s="120">
        <f t="shared" si="3"/>
        <v>6.42</v>
      </c>
      <c r="AX21" s="111">
        <v>30</v>
      </c>
      <c r="AY21" s="118" t="s">
        <v>367</v>
      </c>
    </row>
    <row r="22" spans="1:60" ht="20.100000000000001" customHeight="1" x14ac:dyDescent="0.2">
      <c r="A22" s="61" t="s">
        <v>34</v>
      </c>
      <c r="B22" s="62" t="s">
        <v>270</v>
      </c>
      <c r="C22" s="62" t="s">
        <v>271</v>
      </c>
      <c r="D22" s="62" t="s">
        <v>34</v>
      </c>
      <c r="E22" s="62" t="s">
        <v>34</v>
      </c>
      <c r="F22" s="62" t="s">
        <v>362</v>
      </c>
      <c r="G22" s="62">
        <v>13</v>
      </c>
      <c r="H22" s="63" t="s">
        <v>35</v>
      </c>
      <c r="I22" s="63" t="s">
        <v>103</v>
      </c>
      <c r="J22" s="49">
        <v>3</v>
      </c>
      <c r="K22" s="63" t="s">
        <v>104</v>
      </c>
      <c r="L22" s="63" t="s">
        <v>105</v>
      </c>
      <c r="M22" s="63" t="s">
        <v>106</v>
      </c>
      <c r="N22" s="62" t="s">
        <v>2</v>
      </c>
      <c r="O22" s="48" t="s">
        <v>107</v>
      </c>
      <c r="P22" s="49">
        <v>60</v>
      </c>
      <c r="Q22" s="48" t="s">
        <v>108</v>
      </c>
      <c r="R22" s="62" t="s">
        <v>34</v>
      </c>
      <c r="S22" s="62" t="s">
        <v>34</v>
      </c>
      <c r="T22" s="49">
        <v>110</v>
      </c>
      <c r="U22" s="50">
        <v>3.5999999999999999E-3</v>
      </c>
      <c r="V22" s="51">
        <v>0.39</v>
      </c>
      <c r="W22" s="101" t="s">
        <v>34</v>
      </c>
      <c r="X22" s="103" t="str">
        <f>IF(Calculations!$A14=1,"P",IF(Calculations!$A14=2,"P","O"))</f>
        <v>P</v>
      </c>
      <c r="Y22" s="102" t="str">
        <f>IF(Calculations!$B14=1,"P","O")</f>
        <v>P</v>
      </c>
      <c r="Z22" s="102" t="str">
        <f>IF(Calculations!$C14=1,"P","O")</f>
        <v>P</v>
      </c>
      <c r="AA22" s="108" t="str">
        <f>IF(Calculations!$E14=1,"P","O")</f>
        <v>P</v>
      </c>
      <c r="AB22" s="142" t="s">
        <v>108</v>
      </c>
      <c r="AC22" s="124" t="s">
        <v>107</v>
      </c>
      <c r="AD22" s="114">
        <f t="shared" si="1"/>
        <v>50</v>
      </c>
      <c r="AE22" s="110">
        <v>110</v>
      </c>
      <c r="AF22" s="110">
        <v>3.5999999999999999E-3</v>
      </c>
      <c r="AG22" s="110" t="s">
        <v>348</v>
      </c>
      <c r="AH22" s="116" t="s">
        <v>270</v>
      </c>
      <c r="AI22" s="111"/>
      <c r="AJ22" s="110"/>
      <c r="AK22" s="110"/>
      <c r="AL22" s="110"/>
      <c r="AM22" s="110"/>
      <c r="AN22" s="110"/>
      <c r="AO22" s="120"/>
      <c r="AP22" s="111"/>
      <c r="AQ22" s="110"/>
      <c r="AR22" s="110"/>
      <c r="AS22" s="110"/>
      <c r="AT22" s="120"/>
      <c r="AU22" s="111"/>
      <c r="AV22" s="110">
        <f t="shared" si="2"/>
        <v>3.5999999999999999E-3</v>
      </c>
      <c r="AW22" s="120">
        <f t="shared" si="3"/>
        <v>0.216</v>
      </c>
      <c r="AX22" s="111">
        <v>110</v>
      </c>
      <c r="AY22" s="118" t="s">
        <v>367</v>
      </c>
    </row>
    <row r="23" spans="1:60" ht="20.100000000000001" customHeight="1" x14ac:dyDescent="0.2">
      <c r="A23" s="61" t="s">
        <v>34</v>
      </c>
      <c r="B23" s="62" t="s">
        <v>270</v>
      </c>
      <c r="C23" s="62" t="s">
        <v>271</v>
      </c>
      <c r="D23" s="62" t="s">
        <v>34</v>
      </c>
      <c r="E23" s="62" t="s">
        <v>34</v>
      </c>
      <c r="F23" s="62" t="s">
        <v>362</v>
      </c>
      <c r="G23" s="62">
        <v>14</v>
      </c>
      <c r="H23" s="63" t="s">
        <v>35</v>
      </c>
      <c r="I23" s="63" t="s">
        <v>109</v>
      </c>
      <c r="J23" s="49">
        <v>1</v>
      </c>
      <c r="K23" s="63" t="s">
        <v>110</v>
      </c>
      <c r="L23" s="63" t="s">
        <v>111</v>
      </c>
      <c r="M23" s="63" t="s">
        <v>112</v>
      </c>
      <c r="N23" s="62" t="s">
        <v>70</v>
      </c>
      <c r="O23" s="48" t="s">
        <v>113</v>
      </c>
      <c r="P23" s="49">
        <v>20</v>
      </c>
      <c r="Q23" s="48" t="s">
        <v>114</v>
      </c>
      <c r="R23" s="62" t="s">
        <v>34</v>
      </c>
      <c r="S23" s="62" t="s">
        <v>34</v>
      </c>
      <c r="T23" s="49">
        <v>100</v>
      </c>
      <c r="U23" s="50">
        <v>0.1018</v>
      </c>
      <c r="V23" s="51">
        <f t="shared" si="0"/>
        <v>10.18</v>
      </c>
      <c r="W23" s="101" t="s">
        <v>34</v>
      </c>
      <c r="X23" s="103" t="str">
        <f>IF(Calculations!$A15=1,"P",IF(Calculations!$A15=2,"P","O"))</f>
        <v>P</v>
      </c>
      <c r="Y23" s="102" t="str">
        <f>IF(Calculations!$B15=1,"P","O")</f>
        <v>P</v>
      </c>
      <c r="Z23" s="102" t="str">
        <f>IF(Calculations!$C15=1,"P","O")</f>
        <v>O</v>
      </c>
      <c r="AA23" s="108" t="str">
        <f>IF(Calculations!$E15=1,"P","O")</f>
        <v>P</v>
      </c>
      <c r="AB23" s="122" t="s">
        <v>114</v>
      </c>
      <c r="AC23" s="124" t="s">
        <v>113</v>
      </c>
      <c r="AD23" s="114">
        <f t="shared" si="1"/>
        <v>80</v>
      </c>
      <c r="AE23" s="110">
        <v>100</v>
      </c>
      <c r="AF23" s="110">
        <v>0.1018</v>
      </c>
      <c r="AG23" s="110" t="s">
        <v>357</v>
      </c>
      <c r="AH23" s="116" t="s">
        <v>270</v>
      </c>
      <c r="AI23" s="111"/>
      <c r="AJ23" s="110"/>
      <c r="AK23" s="110"/>
      <c r="AL23" s="110"/>
      <c r="AM23" s="110"/>
      <c r="AN23" s="110"/>
      <c r="AO23" s="120"/>
      <c r="AP23" s="111"/>
      <c r="AQ23" s="110"/>
      <c r="AR23" s="110"/>
      <c r="AS23" s="110"/>
      <c r="AT23" s="120"/>
      <c r="AU23" s="111"/>
      <c r="AV23" s="110">
        <f t="shared" si="2"/>
        <v>0.1018</v>
      </c>
      <c r="AW23" s="120">
        <f t="shared" si="3"/>
        <v>2.036</v>
      </c>
      <c r="AX23" s="111">
        <v>100</v>
      </c>
      <c r="AY23" s="118" t="s">
        <v>367</v>
      </c>
    </row>
    <row r="24" spans="1:60" ht="20.100000000000001" customHeight="1" x14ac:dyDescent="0.2">
      <c r="A24" s="61" t="s">
        <v>34</v>
      </c>
      <c r="B24" s="62" t="s">
        <v>270</v>
      </c>
      <c r="C24" s="62" t="s">
        <v>271</v>
      </c>
      <c r="D24" s="62" t="s">
        <v>34</v>
      </c>
      <c r="E24" s="62" t="s">
        <v>34</v>
      </c>
      <c r="F24" s="62" t="s">
        <v>362</v>
      </c>
      <c r="G24" s="62">
        <v>15</v>
      </c>
      <c r="H24" s="63" t="s">
        <v>35</v>
      </c>
      <c r="I24" s="63" t="s">
        <v>115</v>
      </c>
      <c r="J24" s="49">
        <v>1</v>
      </c>
      <c r="K24" s="63" t="s">
        <v>116</v>
      </c>
      <c r="L24" s="63" t="s">
        <v>117</v>
      </c>
      <c r="M24" s="63" t="s">
        <v>118</v>
      </c>
      <c r="N24" s="62" t="s">
        <v>2</v>
      </c>
      <c r="O24" s="48" t="s">
        <v>119</v>
      </c>
      <c r="P24" s="49">
        <v>20</v>
      </c>
      <c r="Q24" s="48" t="s">
        <v>120</v>
      </c>
      <c r="R24" s="62" t="s">
        <v>34</v>
      </c>
      <c r="S24" s="62" t="s">
        <v>34</v>
      </c>
      <c r="T24" s="49">
        <v>60</v>
      </c>
      <c r="U24" s="50">
        <v>0.01</v>
      </c>
      <c r="V24" s="51">
        <f t="shared" si="0"/>
        <v>0.6</v>
      </c>
      <c r="W24" s="101" t="s">
        <v>34</v>
      </c>
      <c r="X24" s="103" t="str">
        <f>IF(Calculations!$A16=1,"P",IF(Calculations!$A16=2,"P","O"))</f>
        <v>P</v>
      </c>
      <c r="Y24" s="102" t="str">
        <f>IF(Calculations!$B16=1,"P","O")</f>
        <v>P</v>
      </c>
      <c r="Z24" s="102" t="str">
        <f>IF(Calculations!$C16=1,"P","O")</f>
        <v>P</v>
      </c>
      <c r="AA24" s="108" t="str">
        <f>IF(Calculations!$E16=1,"P","O")</f>
        <v>P</v>
      </c>
      <c r="AB24" s="142" t="s">
        <v>120</v>
      </c>
      <c r="AC24" s="124" t="s">
        <v>119</v>
      </c>
      <c r="AD24" s="114">
        <f t="shared" si="1"/>
        <v>40</v>
      </c>
      <c r="AE24" s="110">
        <v>60</v>
      </c>
      <c r="AF24" s="110">
        <v>0.01</v>
      </c>
      <c r="AG24" s="110" t="s">
        <v>349</v>
      </c>
      <c r="AH24" s="116" t="s">
        <v>270</v>
      </c>
      <c r="AI24" s="111"/>
      <c r="AJ24" s="110"/>
      <c r="AK24" s="110"/>
      <c r="AL24" s="110"/>
      <c r="AM24" s="110"/>
      <c r="AN24" s="110"/>
      <c r="AO24" s="120"/>
      <c r="AP24" s="111"/>
      <c r="AQ24" s="110"/>
      <c r="AR24" s="110"/>
      <c r="AS24" s="110"/>
      <c r="AT24" s="120"/>
      <c r="AU24" s="111"/>
      <c r="AV24" s="110">
        <f t="shared" si="2"/>
        <v>0.01</v>
      </c>
      <c r="AW24" s="120">
        <f t="shared" si="3"/>
        <v>0.2</v>
      </c>
      <c r="AX24" s="111">
        <v>60</v>
      </c>
      <c r="AY24" s="118" t="s">
        <v>367</v>
      </c>
    </row>
    <row r="25" spans="1:60" ht="20.100000000000001" customHeight="1" x14ac:dyDescent="0.2">
      <c r="A25" s="61" t="s">
        <v>34</v>
      </c>
      <c r="B25" s="62" t="s">
        <v>270</v>
      </c>
      <c r="C25" s="62" t="s">
        <v>271</v>
      </c>
      <c r="D25" s="62" t="s">
        <v>34</v>
      </c>
      <c r="E25" s="62" t="s">
        <v>34</v>
      </c>
      <c r="F25" s="62" t="s">
        <v>362</v>
      </c>
      <c r="G25" s="62">
        <v>16</v>
      </c>
      <c r="H25" s="63" t="s">
        <v>35</v>
      </c>
      <c r="I25" s="63" t="s">
        <v>121</v>
      </c>
      <c r="J25" s="49">
        <v>1</v>
      </c>
      <c r="K25" s="63" t="s">
        <v>122</v>
      </c>
      <c r="L25" s="63" t="s">
        <v>123</v>
      </c>
      <c r="M25" s="63" t="s">
        <v>124</v>
      </c>
      <c r="N25" s="62" t="s">
        <v>2</v>
      </c>
      <c r="O25" s="48" t="s">
        <v>125</v>
      </c>
      <c r="P25" s="49">
        <v>20</v>
      </c>
      <c r="Q25" s="48" t="s">
        <v>126</v>
      </c>
      <c r="R25" s="62" t="s">
        <v>34</v>
      </c>
      <c r="S25" s="62" t="s">
        <v>34</v>
      </c>
      <c r="T25" s="49">
        <v>70</v>
      </c>
      <c r="U25" s="50">
        <v>3.6900000000000002E-2</v>
      </c>
      <c r="V25" s="51">
        <f t="shared" si="0"/>
        <v>2.5830000000000002</v>
      </c>
      <c r="W25" s="101" t="s">
        <v>34</v>
      </c>
      <c r="X25" s="103" t="str">
        <f>IF(Calculations!$A17=1,"P",IF(Calculations!$A17=2,"P","O"))</f>
        <v>P</v>
      </c>
      <c r="Y25" s="102" t="str">
        <f>IF(Calculations!$B17=1,"P","O")</f>
        <v>O</v>
      </c>
      <c r="Z25" s="102" t="str">
        <f>IF(Calculations!$C17=1,"P","O")</f>
        <v>O</v>
      </c>
      <c r="AA25" s="108" t="str">
        <f>IF(Calculations!$E17=1,"P","O")</f>
        <v>O</v>
      </c>
      <c r="AB25" s="142" t="s">
        <v>126</v>
      </c>
      <c r="AC25" s="124" t="s">
        <v>125</v>
      </c>
      <c r="AD25" s="114">
        <f t="shared" si="1"/>
        <v>50</v>
      </c>
      <c r="AE25" s="110">
        <v>70</v>
      </c>
      <c r="AF25" s="110">
        <v>3.6900000000000002E-2</v>
      </c>
      <c r="AG25" s="110" t="s">
        <v>351</v>
      </c>
      <c r="AH25" s="116" t="s">
        <v>270</v>
      </c>
      <c r="AI25" s="111"/>
      <c r="AJ25" s="110"/>
      <c r="AK25" s="110"/>
      <c r="AL25" s="110"/>
      <c r="AM25" s="110"/>
      <c r="AN25" s="110"/>
      <c r="AO25" s="120"/>
      <c r="AP25" s="111"/>
      <c r="AQ25" s="110"/>
      <c r="AR25" s="110"/>
      <c r="AS25" s="110"/>
      <c r="AT25" s="120"/>
      <c r="AU25" s="111"/>
      <c r="AV25" s="110">
        <f t="shared" si="2"/>
        <v>3.6900000000000002E-2</v>
      </c>
      <c r="AW25" s="120">
        <f t="shared" si="3"/>
        <v>0.73799999999999999</v>
      </c>
      <c r="AX25" s="111">
        <v>70</v>
      </c>
      <c r="AY25" s="118" t="s">
        <v>367</v>
      </c>
    </row>
    <row r="26" spans="1:60" ht="20.100000000000001" customHeight="1" x14ac:dyDescent="0.2">
      <c r="A26" s="61" t="s">
        <v>34</v>
      </c>
      <c r="B26" s="62" t="s">
        <v>270</v>
      </c>
      <c r="C26" s="62" t="s">
        <v>271</v>
      </c>
      <c r="D26" s="62" t="s">
        <v>34</v>
      </c>
      <c r="E26" s="62" t="s">
        <v>34</v>
      </c>
      <c r="F26" s="62" t="s">
        <v>362</v>
      </c>
      <c r="G26" s="62">
        <v>17</v>
      </c>
      <c r="H26" s="63" t="s">
        <v>35</v>
      </c>
      <c r="I26" s="63" t="s">
        <v>127</v>
      </c>
      <c r="J26" s="49">
        <v>1</v>
      </c>
      <c r="K26" s="63" t="s">
        <v>128</v>
      </c>
      <c r="L26" s="63" t="s">
        <v>129</v>
      </c>
      <c r="M26" s="63" t="s">
        <v>130</v>
      </c>
      <c r="N26" s="62" t="s">
        <v>70</v>
      </c>
      <c r="O26" s="134" t="s">
        <v>131</v>
      </c>
      <c r="P26" s="49">
        <v>20</v>
      </c>
      <c r="Q26" s="48" t="s">
        <v>132</v>
      </c>
      <c r="R26" s="62" t="s">
        <v>34</v>
      </c>
      <c r="S26" s="62" t="s">
        <v>34</v>
      </c>
      <c r="T26" s="49">
        <v>70</v>
      </c>
      <c r="U26" s="50">
        <v>0.34100000000000003</v>
      </c>
      <c r="V26" s="51">
        <f t="shared" si="0"/>
        <v>23.87</v>
      </c>
      <c r="W26" s="101" t="s">
        <v>34</v>
      </c>
      <c r="X26" s="103" t="str">
        <f>IF(Calculations!$A18=1,"P",IF(Calculations!$A18=2,"P","O"))</f>
        <v>P</v>
      </c>
      <c r="Y26" s="102" t="str">
        <f>IF(Calculations!$B18=1,"P","O")</f>
        <v>P</v>
      </c>
      <c r="Z26" s="102" t="str">
        <f>IF(Calculations!$C18=1,"P","O")</f>
        <v>O</v>
      </c>
      <c r="AA26" s="108" t="str">
        <f>IF(Calculations!$E18=1,"P","O")</f>
        <v>P</v>
      </c>
      <c r="AB26" s="122" t="s">
        <v>132</v>
      </c>
      <c r="AC26" s="124" t="s">
        <v>131</v>
      </c>
      <c r="AD26" s="114">
        <f t="shared" si="1"/>
        <v>50</v>
      </c>
      <c r="AE26" s="110">
        <v>100</v>
      </c>
      <c r="AF26" s="110">
        <v>0.29670000000000002</v>
      </c>
      <c r="AG26" s="110" t="s">
        <v>358</v>
      </c>
      <c r="AH26" s="116" t="s">
        <v>270</v>
      </c>
      <c r="AI26" s="111"/>
      <c r="AJ26" s="110"/>
      <c r="AK26" s="110"/>
      <c r="AL26" s="110"/>
      <c r="AM26" s="110"/>
      <c r="AN26" s="110"/>
      <c r="AO26" s="120"/>
      <c r="AP26" s="111"/>
      <c r="AQ26" s="110"/>
      <c r="AR26" s="110"/>
      <c r="AS26" s="110"/>
      <c r="AT26" s="120"/>
      <c r="AU26" s="111"/>
      <c r="AV26" s="110">
        <f t="shared" si="2"/>
        <v>0.34100000000000003</v>
      </c>
      <c r="AW26" s="120">
        <f t="shared" si="3"/>
        <v>6.82</v>
      </c>
      <c r="AX26" s="111">
        <v>70</v>
      </c>
      <c r="AY26" s="118" t="s">
        <v>367</v>
      </c>
    </row>
    <row r="27" spans="1:60" ht="20.100000000000001" customHeight="1" x14ac:dyDescent="0.2">
      <c r="A27" s="61" t="s">
        <v>34</v>
      </c>
      <c r="B27" s="62" t="s">
        <v>270</v>
      </c>
      <c r="C27" s="62" t="s">
        <v>271</v>
      </c>
      <c r="D27" s="62" t="s">
        <v>34</v>
      </c>
      <c r="E27" s="62" t="s">
        <v>34</v>
      </c>
      <c r="F27" s="62" t="s">
        <v>362</v>
      </c>
      <c r="G27" s="62">
        <v>18</v>
      </c>
      <c r="H27" s="63" t="s">
        <v>35</v>
      </c>
      <c r="I27" s="63" t="s">
        <v>133</v>
      </c>
      <c r="J27" s="49">
        <v>1</v>
      </c>
      <c r="K27" s="63" t="s">
        <v>134</v>
      </c>
      <c r="L27" s="63" t="s">
        <v>135</v>
      </c>
      <c r="M27" s="63" t="s">
        <v>136</v>
      </c>
      <c r="N27" s="62" t="s">
        <v>2</v>
      </c>
      <c r="O27" s="48" t="s">
        <v>137</v>
      </c>
      <c r="P27" s="49">
        <v>20</v>
      </c>
      <c r="Q27" s="48" t="s">
        <v>138</v>
      </c>
      <c r="R27" s="62" t="s">
        <v>34</v>
      </c>
      <c r="S27" s="62" t="s">
        <v>34</v>
      </c>
      <c r="T27" s="49">
        <v>70</v>
      </c>
      <c r="U27" s="50">
        <v>7.5999999999999998E-2</v>
      </c>
      <c r="V27" s="51">
        <f t="shared" si="0"/>
        <v>5.32</v>
      </c>
      <c r="W27" s="101" t="s">
        <v>34</v>
      </c>
      <c r="X27" s="103" t="str">
        <f>IF(Calculations!$A19=1,"P",IF(Calculations!$A19=2,"P","O"))</f>
        <v>P</v>
      </c>
      <c r="Y27" s="102" t="str">
        <f>IF(Calculations!$B19=1,"P","O")</f>
        <v>P</v>
      </c>
      <c r="Z27" s="102" t="str">
        <f>IF(Calculations!$C19=1,"P","O")</f>
        <v>P</v>
      </c>
      <c r="AA27" s="108" t="str">
        <f>IF(Calculations!$E19=1,"P","O")</f>
        <v>P</v>
      </c>
      <c r="AB27" s="142" t="s">
        <v>138</v>
      </c>
      <c r="AC27" s="124" t="s">
        <v>137</v>
      </c>
      <c r="AD27" s="114">
        <f t="shared" si="1"/>
        <v>50</v>
      </c>
      <c r="AE27" s="110">
        <v>70</v>
      </c>
      <c r="AF27" s="110">
        <v>7.5999999999999998E-2</v>
      </c>
      <c r="AG27" s="110" t="s">
        <v>353</v>
      </c>
      <c r="AH27" s="116" t="s">
        <v>270</v>
      </c>
      <c r="AI27" s="111"/>
      <c r="AJ27" s="110"/>
      <c r="AK27" s="110"/>
      <c r="AL27" s="110"/>
      <c r="AM27" s="110"/>
      <c r="AN27" s="110"/>
      <c r="AO27" s="120"/>
      <c r="AP27" s="111"/>
      <c r="AQ27" s="110"/>
      <c r="AR27" s="110"/>
      <c r="AS27" s="110"/>
      <c r="AT27" s="120"/>
      <c r="AU27" s="111"/>
      <c r="AV27" s="110">
        <f t="shared" si="2"/>
        <v>7.5999999999999998E-2</v>
      </c>
      <c r="AW27" s="120">
        <f t="shared" si="3"/>
        <v>1.52</v>
      </c>
      <c r="AX27" s="111">
        <v>70</v>
      </c>
      <c r="AY27" s="118" t="s">
        <v>367</v>
      </c>
    </row>
    <row r="28" spans="1:60" ht="20.100000000000001" customHeight="1" thickBot="1" x14ac:dyDescent="0.25">
      <c r="A28" s="64" t="s">
        <v>34</v>
      </c>
      <c r="B28" s="65" t="s">
        <v>270</v>
      </c>
      <c r="C28" s="65" t="s">
        <v>271</v>
      </c>
      <c r="D28" s="65" t="s">
        <v>34</v>
      </c>
      <c r="E28" s="65" t="s">
        <v>34</v>
      </c>
      <c r="F28" s="65" t="s">
        <v>362</v>
      </c>
      <c r="G28" s="62">
        <v>19</v>
      </c>
      <c r="H28" s="66" t="s">
        <v>35</v>
      </c>
      <c r="I28" s="66" t="s">
        <v>139</v>
      </c>
      <c r="J28" s="57">
        <v>1</v>
      </c>
      <c r="K28" s="66" t="s">
        <v>140</v>
      </c>
      <c r="L28" s="66" t="s">
        <v>141</v>
      </c>
      <c r="M28" s="66" t="s">
        <v>142</v>
      </c>
      <c r="N28" s="65" t="s">
        <v>70</v>
      </c>
      <c r="O28" s="136" t="s">
        <v>143</v>
      </c>
      <c r="P28" s="57">
        <v>20</v>
      </c>
      <c r="Q28" s="56" t="s">
        <v>144</v>
      </c>
      <c r="R28" s="65" t="s">
        <v>34</v>
      </c>
      <c r="S28" s="65" t="s">
        <v>34</v>
      </c>
      <c r="T28" s="57">
        <v>20</v>
      </c>
      <c r="U28" s="58">
        <v>8.6140000000000008</v>
      </c>
      <c r="V28" s="59">
        <f t="shared" si="0"/>
        <v>172.28000000000003</v>
      </c>
      <c r="W28" s="137" t="s">
        <v>313</v>
      </c>
      <c r="X28" s="104" t="str">
        <f>IF(Calculations!$A20=1,"P",IF(Calculations!$A20=2,"P","O"))</f>
        <v>P</v>
      </c>
      <c r="Y28" s="105" t="str">
        <f>IF(Calculations!$B20=1,"P","O")</f>
        <v>P</v>
      </c>
      <c r="Z28" s="105" t="str">
        <f>IF(Calculations!$C20=1,"P","O")</f>
        <v>P</v>
      </c>
      <c r="AA28" s="109" t="str">
        <f>IF(Calculations!$E20=1,"P","O")</f>
        <v>P</v>
      </c>
      <c r="AB28" s="123" t="s">
        <v>144</v>
      </c>
      <c r="AC28" s="125" t="s">
        <v>143</v>
      </c>
      <c r="AD28" s="115">
        <f t="shared" si="1"/>
        <v>0</v>
      </c>
      <c r="AE28" s="113">
        <v>20</v>
      </c>
      <c r="AF28" s="113">
        <v>8.6140000000000008</v>
      </c>
      <c r="AG28" s="113" t="s">
        <v>359</v>
      </c>
      <c r="AH28" s="117" t="s">
        <v>270</v>
      </c>
      <c r="AI28" s="112"/>
      <c r="AJ28" s="113"/>
      <c r="AK28" s="113"/>
      <c r="AL28" s="113"/>
      <c r="AM28" s="113"/>
      <c r="AN28" s="113"/>
      <c r="AO28" s="121"/>
      <c r="AP28" s="112"/>
      <c r="AQ28" s="113"/>
      <c r="AR28" s="113"/>
      <c r="AS28" s="113"/>
      <c r="AT28" s="121"/>
      <c r="AU28" s="112"/>
      <c r="AV28" s="113">
        <f t="shared" si="2"/>
        <v>8.6140000000000008</v>
      </c>
      <c r="AW28" s="121">
        <f t="shared" si="3"/>
        <v>172.28000000000003</v>
      </c>
      <c r="AX28" s="112">
        <v>20</v>
      </c>
      <c r="AY28" s="119" t="s">
        <v>367</v>
      </c>
    </row>
    <row r="31" spans="1:60" x14ac:dyDescent="0.2">
      <c r="BE31"/>
      <c r="BF31"/>
      <c r="BG31"/>
      <c r="BH31"/>
    </row>
    <row r="32" spans="1:60" x14ac:dyDescent="0.2">
      <c r="BE32"/>
      <c r="BF32"/>
      <c r="BG32"/>
      <c r="BH32"/>
    </row>
    <row r="33" spans="57:60" x14ac:dyDescent="0.2">
      <c r="BE33"/>
      <c r="BF33"/>
      <c r="BG33"/>
      <c r="BH33"/>
    </row>
    <row r="34" spans="57:60" x14ac:dyDescent="0.2">
      <c r="BE34"/>
      <c r="BF34"/>
      <c r="BG34"/>
      <c r="BH34"/>
    </row>
    <row r="35" spans="57:60" x14ac:dyDescent="0.2">
      <c r="BE35"/>
      <c r="BF35"/>
      <c r="BG35"/>
      <c r="BH35"/>
    </row>
    <row r="36" spans="57:60" x14ac:dyDescent="0.2">
      <c r="BE36"/>
      <c r="BF36"/>
      <c r="BG36"/>
      <c r="BH36"/>
    </row>
    <row r="37" spans="57:60" x14ac:dyDescent="0.2">
      <c r="BE37"/>
      <c r="BF37"/>
      <c r="BG37"/>
      <c r="BH37"/>
    </row>
    <row r="38" spans="57:60" x14ac:dyDescent="0.2">
      <c r="BE38"/>
      <c r="BF38"/>
      <c r="BG38"/>
      <c r="BH38"/>
    </row>
    <row r="39" spans="57:60" x14ac:dyDescent="0.2">
      <c r="BE39"/>
      <c r="BF39"/>
      <c r="BG39"/>
      <c r="BH39"/>
    </row>
    <row r="40" spans="57:60" x14ac:dyDescent="0.2">
      <c r="BE40"/>
      <c r="BF40"/>
      <c r="BG40"/>
      <c r="BH40"/>
    </row>
    <row r="41" spans="57:60" x14ac:dyDescent="0.2">
      <c r="BE41"/>
      <c r="BF41"/>
      <c r="BG41"/>
      <c r="BH41"/>
    </row>
    <row r="42" spans="57:60" x14ac:dyDescent="0.2">
      <c r="BE42"/>
      <c r="BF42"/>
      <c r="BG42"/>
      <c r="BH42"/>
    </row>
  </sheetData>
  <autoFilter ref="A9:AY28" xr:uid="{00000000-0001-0000-0100-000000000000}"/>
  <mergeCells count="18">
    <mergeCell ref="Q2:V2"/>
    <mergeCell ref="J7:L7"/>
    <mergeCell ref="J6:L6"/>
    <mergeCell ref="J5:L5"/>
    <mergeCell ref="J4:L4"/>
    <mergeCell ref="J3:L3"/>
    <mergeCell ref="J1:L2"/>
    <mergeCell ref="R3:V3"/>
    <mergeCell ref="R4:V4"/>
    <mergeCell ref="R5:V5"/>
    <mergeCell ref="R6:V7"/>
    <mergeCell ref="Q6:Q7"/>
    <mergeCell ref="AX8:AY8"/>
    <mergeCell ref="X8:AA8"/>
    <mergeCell ref="AB8:AH8"/>
    <mergeCell ref="AI8:AO8"/>
    <mergeCell ref="AP8:AT8"/>
    <mergeCell ref="AV8:AW8"/>
  </mergeCells>
  <conditionalFormatting sqref="R6:V7">
    <cfRule type="cellIs" dxfId="65" priority="94" operator="equal">
      <formula>0</formula>
    </cfRule>
    <cfRule type="cellIs" dxfId="64" priority="95" operator="greaterThanOrEqual">
      <formula>$R$4*0.1</formula>
    </cfRule>
    <cfRule type="cellIs" dxfId="63" priority="96" operator="lessThan">
      <formula>0</formula>
    </cfRule>
    <cfRule type="cellIs" dxfId="62" priority="97" operator="lessThan">
      <formula>$R$4*0.1</formula>
    </cfRule>
  </conditionalFormatting>
  <conditionalFormatting sqref="U10:V28">
    <cfRule type="expression" dxfId="61" priority="93" stopIfTrue="1">
      <formula>$U10=0</formula>
    </cfRule>
  </conditionalFormatting>
  <conditionalFormatting sqref="A10:W28">
    <cfRule type="expression" dxfId="60" priority="86" stopIfTrue="1">
      <formula>IF($A$1=1,OR(CELL("row")=CELL("row",A10)),FALSE)</formula>
    </cfRule>
    <cfRule type="expression" dxfId="59" priority="87">
      <formula>OR(ISNUMBER(SEARCH("dnp",$W10)),ISNUMBER(SEARCH("dnf",$W10)),ISNUMBER(SEARCH("not fitted",$W10)))</formula>
    </cfRule>
    <cfRule type="expression" dxfId="58" priority="88">
      <formula>OR(ISNUMBER(SEARCH("c",$S10)),ISNUMBER(SEARCH("r",$S10)),($N10="Stock"))</formula>
    </cfRule>
    <cfRule type="expression" dxfId="57" priority="89">
      <formula>IF(OR(ISNUMBER(SEARCH("approved",$W10)),ISNUMBER(SEARCH("ok to use",$W10)))=TRUE,FALSE,(IF(OR(ISNUMBER(SEARCH("alt",$W10)),ISNUMBER(SEARCH("alternative",$W10)))=TRUE,TRUE,FALSE)))</formula>
    </cfRule>
    <cfRule type="expression" dxfId="56" priority="90">
      <formula>OR(ISNUMBER(SEARCH("long lead",$W10)),ISNUMBER(SEARCH("longlead",$W10)))</formula>
    </cfRule>
    <cfRule type="expression" dxfId="55" priority="91">
      <formula>OR($H10="true",$N10="FI",$N10="Free Issue")</formula>
    </cfRule>
    <cfRule type="expression" dxfId="54" priority="92">
      <formula>OR($O10="",$Q10="",$N10="",$P10="",$T10="",$U10="",$V10="")</formula>
    </cfRule>
  </conditionalFormatting>
  <conditionalFormatting sqref="O10:O28">
    <cfRule type="expression" dxfId="53" priority="99" stopIfTrue="1">
      <formula>ISNUMBER(SEARCH("Duplicate",$W10))</formula>
    </cfRule>
    <cfRule type="duplicateValues" dxfId="52" priority="101"/>
  </conditionalFormatting>
  <conditionalFormatting sqref="Q10:Q28">
    <cfRule type="expression" dxfId="51" priority="103" stopIfTrue="1">
      <formula>ISNUMBER(SEARCH("Duplicate",$W10))</formula>
    </cfRule>
    <cfRule type="duplicateValues" dxfId="50" priority="105"/>
  </conditionalFormatting>
  <conditionalFormatting sqref="X10:AA28">
    <cfRule type="cellIs" dxfId="49" priority="84" operator="equal">
      <formula>"P"</formula>
    </cfRule>
    <cfRule type="cellIs" dxfId="48" priority="85" operator="equal">
      <formula>"O"</formula>
    </cfRule>
  </conditionalFormatting>
  <conditionalFormatting sqref="AB10:AB28">
    <cfRule type="expression" dxfId="47" priority="82">
      <formula>IF($AB10="",FALSE,IF($AB10=$Q10,TRUE,FALSE))</formula>
    </cfRule>
    <cfRule type="expression" dxfId="46" priority="83">
      <formula>IF($AB10="",FALSE,IF($AB10=$Q10,FALSE,TRUE))</formula>
    </cfRule>
  </conditionalFormatting>
  <conditionalFormatting sqref="AC10:AC28">
    <cfRule type="expression" dxfId="45" priority="80">
      <formula>IF($AC10="",FALSE,IF($AC10=$O10,TRUE,FALSE))</formula>
    </cfRule>
    <cfRule type="expression" dxfId="44" priority="81">
      <formula>IF($AC10="",FALSE,IF($AC10=$O10,FALSE,TRUE))</formula>
    </cfRule>
  </conditionalFormatting>
  <conditionalFormatting sqref="AD10:AD28">
    <cfRule type="cellIs" dxfId="43" priority="75" operator="lessThan">
      <formula>0</formula>
    </cfRule>
    <cfRule type="cellIs" dxfId="42" priority="76" operator="equal">
      <formula>0</formula>
    </cfRule>
    <cfRule type="cellIs" dxfId="41" priority="77" operator="equal">
      <formula>""</formula>
    </cfRule>
    <cfRule type="cellIs" dxfId="40" priority="78" operator="greaterThanOrEqual">
      <formula>10</formula>
    </cfRule>
    <cfRule type="cellIs" dxfId="39" priority="79" operator="lessThan">
      <formula>10</formula>
    </cfRule>
  </conditionalFormatting>
  <conditionalFormatting sqref="AE10:AE28">
    <cfRule type="cellIs" dxfId="38" priority="71" operator="equal">
      <formula>""</formula>
    </cfRule>
    <cfRule type="expression" dxfId="37" priority="72">
      <formula>$AE10&gt;$T10</formula>
    </cfRule>
    <cfRule type="expression" dxfId="36" priority="73">
      <formula>$T10&gt;$AE10</formula>
    </cfRule>
    <cfRule type="expression" dxfId="35" priority="74">
      <formula>$AE10=$T10</formula>
    </cfRule>
  </conditionalFormatting>
  <conditionalFormatting sqref="AF10:AF28">
    <cfRule type="cellIs" dxfId="34" priority="67" operator="equal">
      <formula>""</formula>
    </cfRule>
    <cfRule type="expression" dxfId="33" priority="68">
      <formula>$AF10&lt;$U10</formula>
    </cfRule>
    <cfRule type="expression" dxfId="32" priority="69">
      <formula>$AF10&gt;$U10</formula>
    </cfRule>
    <cfRule type="expression" dxfId="31" priority="70">
      <formula>$AF10=$U10</formula>
    </cfRule>
  </conditionalFormatting>
  <conditionalFormatting sqref="AG10:AG28">
    <cfRule type="expression" dxfId="30" priority="65">
      <formula>$AH10="O"</formula>
    </cfRule>
    <cfRule type="expression" dxfId="29" priority="66">
      <formula>$AH10="P"</formula>
    </cfRule>
  </conditionalFormatting>
  <conditionalFormatting sqref="AH10:AH28">
    <cfRule type="cellIs" dxfId="28" priority="63" operator="equal">
      <formula>"O"</formula>
    </cfRule>
    <cfRule type="cellIs" dxfId="27" priority="64" operator="equal">
      <formula>"P"</formula>
    </cfRule>
  </conditionalFormatting>
  <conditionalFormatting sqref="AB10:AC28 AE10:AH28">
    <cfRule type="expression" dxfId="26" priority="62">
      <formula>IF(OR($N10="Farnell",$N10="Digi-Key",$N10="Mouser"),FALSE,TRUE)</formula>
    </cfRule>
  </conditionalFormatting>
  <conditionalFormatting sqref="AK10:AK28">
    <cfRule type="expression" dxfId="25" priority="61">
      <formula>IF(OR($N8="Farnell",$N8="Digi-Key",$N8="Mouser"),FALSE,TRUE)</formula>
    </cfRule>
  </conditionalFormatting>
  <conditionalFormatting sqref="AL10:AL28">
    <cfRule type="expression" dxfId="24" priority="60">
      <formula>IF($N8="FI",FALSE,TRUE)</formula>
    </cfRule>
  </conditionalFormatting>
  <conditionalFormatting sqref="AM10:AM28">
    <cfRule type="expression" dxfId="23" priority="59">
      <formula>IF($N8="Stock",FALSE,TRUE)</formula>
    </cfRule>
  </conditionalFormatting>
  <conditionalFormatting sqref="AV10:AV28">
    <cfRule type="colorScale" priority="58">
      <colorScale>
        <cfvo type="min"/>
        <cfvo type="num" val="0"/>
        <cfvo type="max"/>
        <color rgb="FF00B050"/>
        <color theme="0"/>
        <color rgb="FFFF0000"/>
      </colorScale>
    </cfRule>
  </conditionalFormatting>
  <conditionalFormatting sqref="AW10:AW28">
    <cfRule type="colorScale" priority="57">
      <colorScale>
        <cfvo type="min"/>
        <cfvo type="num" val="0"/>
        <cfvo type="max"/>
        <color rgb="FF00B050"/>
        <color theme="0"/>
        <color rgb="FFFF0000"/>
      </colorScale>
    </cfRule>
  </conditionalFormatting>
  <conditionalFormatting sqref="AU10:AU28">
    <cfRule type="cellIs" dxfId="22" priority="56" operator="equal">
      <formula>0</formula>
    </cfRule>
  </conditionalFormatting>
  <conditionalFormatting sqref="AX10:AX28">
    <cfRule type="cellIs" dxfId="21" priority="55" operator="greaterThanOrEqual">
      <formula>P10</formula>
    </cfRule>
  </conditionalFormatting>
  <conditionalFormatting sqref="AX10:AX28">
    <cfRule type="cellIs" dxfId="20" priority="54" operator="lessThan">
      <formula>P10</formula>
    </cfRule>
  </conditionalFormatting>
  <conditionalFormatting sqref="AX10:AX28">
    <cfRule type="cellIs" dxfId="19" priority="53" operator="greaterThan">
      <formula>T10</formula>
    </cfRule>
  </conditionalFormatting>
  <conditionalFormatting sqref="AX10:AX28">
    <cfRule type="cellIs" dxfId="18" priority="52" operator="equal">
      <formula>T10</formula>
    </cfRule>
  </conditionalFormatting>
  <conditionalFormatting sqref="AX10:AX28">
    <cfRule type="expression" dxfId="17" priority="51" stopIfTrue="1">
      <formula>LEN(TRIM(AX10))=0</formula>
    </cfRule>
  </conditionalFormatting>
  <conditionalFormatting sqref="AX10:AX28">
    <cfRule type="expression" dxfId="16" priority="50" stopIfTrue="1">
      <formula>OR(ISNUMBER(SEARCH("dnp",$W10)),ISNUMBER(SEARCH("dnf",$W10)),ISNUMBER(SEARCH("not fitted",$W10)))</formula>
    </cfRule>
  </conditionalFormatting>
  <conditionalFormatting sqref="AY10:AY28">
    <cfRule type="expression" dxfId="15" priority="49">
      <formula>LEN(TRIM(AY10))=0</formula>
    </cfRule>
  </conditionalFormatting>
  <conditionalFormatting sqref="AY10:AY28">
    <cfRule type="expression" dxfId="14" priority="48">
      <formula>LEN(TRIM(AY10))&gt;0</formula>
    </cfRule>
  </conditionalFormatting>
  <conditionalFormatting sqref="AY10:AY28">
    <cfRule type="expression" dxfId="13" priority="47" stopIfTrue="1">
      <formula>OR(ISNUMBER(SEARCH("dnp",$W10)),ISNUMBER(SEARCH("dnf",$W10)),ISNUMBER(SEARCH("not fitted",$W10)))</formula>
    </cfRule>
  </conditionalFormatting>
  <dataValidations count="1">
    <dataValidation type="whole" operator="greaterThanOrEqual" allowBlank="1" showInputMessage="1" showErrorMessage="1" errorTitle="Incorrect Quantity" error="Recieved quantity must be greater than or equal to 0" sqref="AX10:AX28" xr:uid="{55D2B49A-F71A-4A2F-A37F-64FEB59679F7}">
      <formula1>0</formula1>
    </dataValidation>
  </dataValidations>
  <pageMargins left="0.7" right="0.7" top="0.78740157499999996" bottom="0.78740157499999996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F3B9-85F9-4146-836F-13277B2D226F}">
  <sheetPr>
    <tabColor theme="9"/>
  </sheetPr>
  <dimension ref="A1:S19"/>
  <sheetViews>
    <sheetView workbookViewId="0">
      <selection activeCell="D9" sqref="D9"/>
    </sheetView>
  </sheetViews>
  <sheetFormatPr defaultRowHeight="12.75" x14ac:dyDescent="0.2"/>
  <cols>
    <col min="1" max="1" width="5.7109375" style="23" customWidth="1"/>
    <col min="2" max="3" width="18.7109375" style="23" customWidth="1"/>
    <col min="4" max="4" width="15.7109375" style="23" customWidth="1"/>
    <col min="5" max="5" width="21.7109375" style="23" customWidth="1"/>
    <col min="6" max="6" width="5.7109375" style="23" customWidth="1"/>
    <col min="7" max="9" width="18.7109375" style="23" customWidth="1"/>
    <col min="10" max="10" width="5.7109375" style="23" customWidth="1"/>
    <col min="11" max="18" width="14.28515625" style="23" customWidth="1"/>
    <col min="19" max="19" width="100.7109375" style="23" customWidth="1"/>
    <col min="20" max="16384" width="9.140625" style="23"/>
  </cols>
  <sheetData>
    <row r="1" spans="1:19" ht="24.95" customHeight="1" thickBot="1" x14ac:dyDescent="0.25">
      <c r="A1" s="97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</row>
    <row r="2" spans="1:19" ht="35.1" customHeight="1" thickTop="1" thickBot="1" x14ac:dyDescent="0.25">
      <c r="A2" s="97"/>
      <c r="B2" s="412" t="s">
        <v>264</v>
      </c>
      <c r="C2" s="413"/>
      <c r="D2" s="413"/>
      <c r="E2" s="414"/>
      <c r="F2" s="97"/>
      <c r="G2" s="412" t="s">
        <v>241</v>
      </c>
      <c r="H2" s="413"/>
      <c r="I2" s="414"/>
      <c r="J2" s="97"/>
      <c r="K2" s="76" t="s">
        <v>199</v>
      </c>
      <c r="L2" s="77" t="s">
        <v>244</v>
      </c>
      <c r="M2" s="77" t="s">
        <v>245</v>
      </c>
      <c r="N2" s="77" t="s">
        <v>12</v>
      </c>
      <c r="O2" s="77" t="s">
        <v>246</v>
      </c>
      <c r="P2" s="77" t="s">
        <v>247</v>
      </c>
      <c r="Q2" s="77" t="s">
        <v>248</v>
      </c>
      <c r="R2" s="78" t="s">
        <v>249</v>
      </c>
      <c r="S2" s="97"/>
    </row>
    <row r="3" spans="1:19" ht="39.950000000000003" customHeight="1" thickBot="1" x14ac:dyDescent="0.25">
      <c r="A3" s="97"/>
      <c r="B3" s="100" t="s">
        <v>218</v>
      </c>
      <c r="C3" s="100" t="s">
        <v>234</v>
      </c>
      <c r="D3" s="100" t="s">
        <v>235</v>
      </c>
      <c r="E3" s="100" t="s">
        <v>236</v>
      </c>
      <c r="F3" s="98"/>
      <c r="G3" s="94" t="s">
        <v>218</v>
      </c>
      <c r="H3" s="95" t="s">
        <v>242</v>
      </c>
      <c r="I3" s="96" t="s">
        <v>243</v>
      </c>
      <c r="J3" s="97"/>
      <c r="K3" s="71">
        <f ca="1">TODAY()</f>
        <v>45174</v>
      </c>
      <c r="L3" s="72" t="str">
        <f>BOM!$J$1</f>
        <v>EAS22314</v>
      </c>
      <c r="M3" s="73">
        <f>Overview!$H$17</f>
        <v>19</v>
      </c>
      <c r="N3" s="73" t="str">
        <f>IFERROR(LEFT(Overview!$E$14,(FIND(" ",Overview!$E$14,1)-1)),Overview!$E$14)</f>
        <v>Wioletta</v>
      </c>
      <c r="O3" s="74">
        <f>SUM($C$4:$D$15)</f>
        <v>1695.77</v>
      </c>
      <c r="P3" s="74">
        <f>IF($K$15&gt;0,$K$15,"")</f>
        <v>42.830000000000155</v>
      </c>
      <c r="Q3" s="74" t="str">
        <f>IF($K$15&lt;0,$K$15,"")</f>
        <v/>
      </c>
      <c r="R3" s="75" t="str">
        <f>IF($M$13=0,"",$M$13)</f>
        <v/>
      </c>
      <c r="S3" s="97"/>
    </row>
    <row r="4" spans="1:19" ht="32.1" customHeight="1" thickBot="1" x14ac:dyDescent="0.25">
      <c r="A4" s="97"/>
      <c r="B4" s="86" t="s">
        <v>2</v>
      </c>
      <c r="C4" s="89">
        <v>41.98</v>
      </c>
      <c r="D4" s="89"/>
      <c r="E4" s="99" t="s">
        <v>365</v>
      </c>
      <c r="F4" s="97"/>
      <c r="G4" s="86" t="str">
        <f>$B4</f>
        <v>Farnell</v>
      </c>
      <c r="H4" s="89">
        <f>IF(SUMIF(BOM!N:N,$G4,BOM!V:V)=0,"",SUMIF(BOM!N:N,$G4,BOM!V:V))</f>
        <v>41.991000000000007</v>
      </c>
      <c r="I4" s="90">
        <f>IF($H4="","",$H4-SUM($C4:$D4))</f>
        <v>1.1000000000009891E-2</v>
      </c>
      <c r="J4" s="97"/>
      <c r="K4" s="432" t="s">
        <v>267</v>
      </c>
      <c r="L4" s="433"/>
      <c r="M4" s="433"/>
      <c r="N4" s="433"/>
      <c r="O4" s="433"/>
      <c r="P4" s="433"/>
      <c r="Q4" s="433"/>
      <c r="R4" s="434"/>
      <c r="S4" s="97"/>
    </row>
    <row r="5" spans="1:19" ht="32.1" customHeight="1" thickTop="1" thickBot="1" x14ac:dyDescent="0.25">
      <c r="A5" s="97"/>
      <c r="B5" s="84" t="s">
        <v>70</v>
      </c>
      <c r="C5" s="87">
        <v>241.99</v>
      </c>
      <c r="D5" s="87"/>
      <c r="E5" s="79" t="s">
        <v>363</v>
      </c>
      <c r="F5" s="97"/>
      <c r="G5" s="84" t="str">
        <f t="shared" ref="G5:G14" si="0">$B5</f>
        <v>Digi-Key</v>
      </c>
      <c r="H5" s="87">
        <f>IF(SUMIF(BOM!N:N,$G5,BOM!V:V)=0,"",SUMIF(BOM!N:N,$G5,BOM!V:V))</f>
        <v>241.98800000000003</v>
      </c>
      <c r="I5" s="91">
        <f t="shared" ref="I5:I14" si="1">IF($H5="","",$H5-SUM($C5:$D5))</f>
        <v>-1.999999999981128E-3</v>
      </c>
      <c r="J5" s="97"/>
      <c r="K5" s="97"/>
      <c r="L5" s="97"/>
      <c r="M5" s="97"/>
      <c r="N5" s="97"/>
      <c r="O5" s="97"/>
      <c r="P5" s="97"/>
      <c r="Q5" s="97"/>
      <c r="R5" s="97"/>
      <c r="S5" s="97"/>
    </row>
    <row r="6" spans="1:19" ht="32.1" customHeight="1" thickTop="1" thickBot="1" x14ac:dyDescent="0.25">
      <c r="A6" s="97"/>
      <c r="B6" s="84" t="s">
        <v>1</v>
      </c>
      <c r="C6" s="87"/>
      <c r="D6" s="87"/>
      <c r="E6" s="79" t="s">
        <v>268</v>
      </c>
      <c r="F6" s="97"/>
      <c r="G6" s="84" t="str">
        <f t="shared" si="0"/>
        <v>Mouser</v>
      </c>
      <c r="H6" s="87" t="str">
        <f>IF(SUMIF(BOM!N:N,$G6,BOM!V:V)=0,"",SUMIF(BOM!N:N,$G6,BOM!V:V))</f>
        <v/>
      </c>
      <c r="I6" s="91" t="str">
        <f t="shared" si="1"/>
        <v/>
      </c>
      <c r="J6" s="97"/>
      <c r="K6" s="435" t="s">
        <v>250</v>
      </c>
      <c r="L6" s="436"/>
      <c r="M6" s="436"/>
      <c r="N6" s="436"/>
      <c r="O6" s="436"/>
      <c r="P6" s="436"/>
      <c r="Q6" s="436"/>
      <c r="R6" s="437"/>
      <c r="S6" s="97"/>
    </row>
    <row r="7" spans="1:19" ht="32.1" customHeight="1" thickBot="1" x14ac:dyDescent="0.25">
      <c r="A7" s="97"/>
      <c r="B7" s="84" t="s">
        <v>3</v>
      </c>
      <c r="C7" s="87"/>
      <c r="D7" s="87"/>
      <c r="E7" s="79" t="s">
        <v>268</v>
      </c>
      <c r="F7" s="97"/>
      <c r="G7" s="84" t="str">
        <f t="shared" si="0"/>
        <v>RS</v>
      </c>
      <c r="H7" s="87" t="str">
        <f>IF(SUMIF(BOM!N:N,$G7,BOM!V:V)=0,"",SUMIF(BOM!N:N,$G7,BOM!V:V))</f>
        <v/>
      </c>
      <c r="I7" s="91" t="str">
        <f t="shared" si="1"/>
        <v/>
      </c>
      <c r="J7" s="97"/>
      <c r="K7" s="438" t="s">
        <v>150</v>
      </c>
      <c r="L7" s="422"/>
      <c r="M7" s="422"/>
      <c r="N7" s="422"/>
      <c r="O7" s="439" t="s">
        <v>251</v>
      </c>
      <c r="P7" s="422"/>
      <c r="Q7" s="422"/>
      <c r="R7" s="423"/>
      <c r="S7" s="97"/>
    </row>
    <row r="8" spans="1:19" ht="32.1" customHeight="1" thickBot="1" x14ac:dyDescent="0.25">
      <c r="A8" s="97"/>
      <c r="B8" s="84" t="s">
        <v>4</v>
      </c>
      <c r="C8" s="87"/>
      <c r="D8" s="87"/>
      <c r="E8" s="79" t="s">
        <v>268</v>
      </c>
      <c r="F8" s="97"/>
      <c r="G8" s="84" t="str">
        <f t="shared" si="0"/>
        <v>Arrow</v>
      </c>
      <c r="H8" s="87" t="str">
        <f>IF(SUMIF(BOM!N:N,$G8,BOM!V:V)=0,"",SUMIF(BOM!N:N,$G8,BOM!V:V))</f>
        <v/>
      </c>
      <c r="I8" s="91" t="str">
        <f t="shared" si="1"/>
        <v/>
      </c>
      <c r="J8" s="97"/>
      <c r="K8" s="440" t="s">
        <v>252</v>
      </c>
      <c r="L8" s="441"/>
      <c r="M8" s="389" t="s">
        <v>253</v>
      </c>
      <c r="N8" s="389"/>
      <c r="O8" s="80" t="s">
        <v>217</v>
      </c>
      <c r="P8" s="81">
        <f>Overview!$Q$26</f>
        <v>0</v>
      </c>
      <c r="Q8" s="82" t="s">
        <v>257</v>
      </c>
      <c r="R8" s="83">
        <f>Overview!$N$22</f>
        <v>1</v>
      </c>
      <c r="S8" s="97"/>
    </row>
    <row r="9" spans="1:19" ht="32.1" customHeight="1" thickBot="1" x14ac:dyDescent="0.25">
      <c r="A9" s="97"/>
      <c r="B9" s="84" t="s">
        <v>237</v>
      </c>
      <c r="C9" s="87"/>
      <c r="D9" s="87"/>
      <c r="E9" s="79" t="s">
        <v>268</v>
      </c>
      <c r="F9" s="97"/>
      <c r="G9" s="84" t="str">
        <f t="shared" si="0"/>
        <v>Quest</v>
      </c>
      <c r="H9" s="87" t="str">
        <f>IF(SUMIF(BOM!N:N,$G9,BOM!V:V)=0,"",SUMIF(BOM!N:N,$G9,BOM!V:V))</f>
        <v/>
      </c>
      <c r="I9" s="91" t="str">
        <f t="shared" si="1"/>
        <v/>
      </c>
      <c r="J9" s="97"/>
      <c r="K9" s="428">
        <v>86.93</v>
      </c>
      <c r="L9" s="391"/>
      <c r="M9" s="410">
        <f>$M$11/Overview!$E$17</f>
        <v>84.78895</v>
      </c>
      <c r="N9" s="410"/>
      <c r="O9" s="420" t="s">
        <v>258</v>
      </c>
      <c r="P9" s="421"/>
      <c r="Q9" s="421"/>
      <c r="R9" s="423"/>
      <c r="S9" s="97"/>
    </row>
    <row r="10" spans="1:19" ht="32.1" customHeight="1" thickBot="1" x14ac:dyDescent="0.25">
      <c r="A10" s="97"/>
      <c r="B10" s="84" t="s">
        <v>311</v>
      </c>
      <c r="C10" s="87">
        <v>84</v>
      </c>
      <c r="D10" s="87"/>
      <c r="E10" s="79" t="s">
        <v>364</v>
      </c>
      <c r="F10" s="97"/>
      <c r="G10" s="84" t="str">
        <f t="shared" si="0"/>
        <v>Coilcraft</v>
      </c>
      <c r="H10" s="87">
        <f>IF(SUMIF(BOM!N:N,$G10,BOM!V:V)=0,"",SUMIF(BOM!N:N,$G10,BOM!V:V))</f>
        <v>84</v>
      </c>
      <c r="I10" s="91">
        <f t="shared" si="1"/>
        <v>0</v>
      </c>
      <c r="J10" s="97"/>
      <c r="K10" s="387" t="s">
        <v>254</v>
      </c>
      <c r="L10" s="388"/>
      <c r="M10" s="389" t="s">
        <v>255</v>
      </c>
      <c r="N10" s="389"/>
      <c r="O10" s="440" t="s">
        <v>259</v>
      </c>
      <c r="P10" s="441"/>
      <c r="Q10" s="389" t="s">
        <v>260</v>
      </c>
      <c r="R10" s="407"/>
      <c r="S10" s="97"/>
    </row>
    <row r="11" spans="1:19" ht="32.1" customHeight="1" thickBot="1" x14ac:dyDescent="0.25">
      <c r="A11" s="97"/>
      <c r="B11" s="84" t="s">
        <v>330</v>
      </c>
      <c r="C11" s="87">
        <v>1327.8</v>
      </c>
      <c r="D11" s="87"/>
      <c r="E11" s="79" t="s">
        <v>366</v>
      </c>
      <c r="F11" s="97"/>
      <c r="G11" s="84" t="str">
        <f t="shared" si="0"/>
        <v>Nicomatic</v>
      </c>
      <c r="H11" s="87">
        <f>IF(SUMIF(BOM!N:N,$G11,BOM!V:V)=0,"",SUMIF(BOM!N:N,$G11,BOM!V:V))</f>
        <v>1327.8</v>
      </c>
      <c r="I11" s="91">
        <f t="shared" si="1"/>
        <v>0</v>
      </c>
      <c r="J11" s="97"/>
      <c r="K11" s="390">
        <f>$K$9*Overview!$E$17</f>
        <v>1738.6000000000001</v>
      </c>
      <c r="L11" s="391"/>
      <c r="M11" s="410">
        <f>Overview!$S$35</f>
        <v>1695.779</v>
      </c>
      <c r="N11" s="410"/>
      <c r="O11" s="408">
        <f>Overview!$W$25</f>
        <v>3.8425408027814939E-2</v>
      </c>
      <c r="P11" s="409"/>
      <c r="Q11" s="410">
        <f>Overview!$W$15</f>
        <v>65.160999999999987</v>
      </c>
      <c r="R11" s="411"/>
      <c r="S11" s="97"/>
    </row>
    <row r="12" spans="1:19" ht="32.1" customHeight="1" thickBot="1" x14ac:dyDescent="0.25">
      <c r="A12" s="97"/>
      <c r="B12" s="84" t="s">
        <v>238</v>
      </c>
      <c r="C12" s="87"/>
      <c r="D12" s="87"/>
      <c r="E12" s="79" t="s">
        <v>268</v>
      </c>
      <c r="F12" s="97"/>
      <c r="G12" s="84" t="str">
        <f t="shared" si="0"/>
        <v>Supplier3</v>
      </c>
      <c r="H12" s="87" t="str">
        <f>IF(SUMIF(BOM!N:N,$G12,BOM!V:V)=0,"",SUMIF(BOM!N:N,$G12,BOM!V:V))</f>
        <v/>
      </c>
      <c r="I12" s="91" t="str">
        <f t="shared" si="1"/>
        <v/>
      </c>
      <c r="J12" s="97"/>
      <c r="K12" s="442" t="s">
        <v>256</v>
      </c>
      <c r="L12" s="441"/>
      <c r="M12" s="389" t="s">
        <v>228</v>
      </c>
      <c r="N12" s="389"/>
      <c r="O12" s="420" t="s">
        <v>243</v>
      </c>
      <c r="P12" s="421"/>
      <c r="Q12" s="422"/>
      <c r="R12" s="423"/>
      <c r="S12" s="97"/>
    </row>
    <row r="13" spans="1:19" ht="32.1" customHeight="1" thickBot="1" x14ac:dyDescent="0.25">
      <c r="A13" s="97"/>
      <c r="B13" s="84" t="s">
        <v>239</v>
      </c>
      <c r="C13" s="87"/>
      <c r="D13" s="87"/>
      <c r="E13" s="79" t="s">
        <v>268</v>
      </c>
      <c r="F13" s="97"/>
      <c r="G13" s="84" t="str">
        <f t="shared" si="0"/>
        <v>Supplier4</v>
      </c>
      <c r="H13" s="87" t="str">
        <f>IF(SUMIF(BOM!N:N,$G13,BOM!V:V)=0,"",SUMIF(BOM!N:N,$G13,BOM!V:V))</f>
        <v/>
      </c>
      <c r="I13" s="91" t="str">
        <f t="shared" si="1"/>
        <v/>
      </c>
      <c r="J13" s="97"/>
      <c r="K13" s="390">
        <f>SUM(C4:D15)-$M$13</f>
        <v>1695.77</v>
      </c>
      <c r="L13" s="391"/>
      <c r="M13" s="410"/>
      <c r="N13" s="410"/>
      <c r="O13" s="424" t="s">
        <v>261</v>
      </c>
      <c r="P13" s="425"/>
      <c r="Q13" s="426" t="s">
        <v>262</v>
      </c>
      <c r="R13" s="427"/>
      <c r="S13" s="97"/>
    </row>
    <row r="14" spans="1:19" ht="32.1" customHeight="1" thickBot="1" x14ac:dyDescent="0.25">
      <c r="A14" s="97"/>
      <c r="B14" s="84" t="s">
        <v>240</v>
      </c>
      <c r="C14" s="87"/>
      <c r="D14" s="87"/>
      <c r="E14" s="79" t="s">
        <v>268</v>
      </c>
      <c r="F14" s="97"/>
      <c r="G14" s="84" t="str">
        <f t="shared" si="0"/>
        <v>Supplier5</v>
      </c>
      <c r="H14" s="87" t="str">
        <f>IF(SUMIF(BOM!N:N,$G14,BOM!V:V)=0,"",SUMIF(BOM!N:N,$G14,BOM!V:V))</f>
        <v/>
      </c>
      <c r="I14" s="91" t="str">
        <f t="shared" si="1"/>
        <v/>
      </c>
      <c r="J14" s="97"/>
      <c r="K14" s="387" t="s">
        <v>7</v>
      </c>
      <c r="L14" s="401"/>
      <c r="M14" s="402"/>
      <c r="N14" s="402"/>
      <c r="O14" s="428">
        <f>$K$9-$M$9</f>
        <v>2.141050000000007</v>
      </c>
      <c r="P14" s="391"/>
      <c r="Q14" s="410">
        <f>$K$11-$M$11</f>
        <v>42.82100000000014</v>
      </c>
      <c r="R14" s="411"/>
      <c r="S14" s="97"/>
    </row>
    <row r="15" spans="1:19" ht="32.1" customHeight="1" thickBot="1" x14ac:dyDescent="0.25">
      <c r="A15" s="97"/>
      <c r="B15" s="85" t="s">
        <v>227</v>
      </c>
      <c r="C15" s="88">
        <v>0</v>
      </c>
      <c r="D15" s="88">
        <v>0</v>
      </c>
      <c r="E15" s="68"/>
      <c r="F15" s="97"/>
      <c r="G15" s="85" t="s">
        <v>227</v>
      </c>
      <c r="H15" s="88"/>
      <c r="I15" s="92"/>
      <c r="J15" s="97"/>
      <c r="K15" s="403">
        <f>IF(SUM($C$4:$D$14)=0,"No Baskets",$K$11-$K$13)</f>
        <v>42.830000000000155</v>
      </c>
      <c r="L15" s="404"/>
      <c r="M15" s="404"/>
      <c r="N15" s="404"/>
      <c r="O15" s="394" t="s">
        <v>263</v>
      </c>
      <c r="P15" s="395"/>
      <c r="Q15" s="396"/>
      <c r="R15" s="397"/>
      <c r="S15" s="97"/>
    </row>
    <row r="16" spans="1:19" ht="42.95" customHeight="1" thickBot="1" x14ac:dyDescent="0.25">
      <c r="A16" s="97"/>
      <c r="B16" s="429" t="s">
        <v>265</v>
      </c>
      <c r="C16" s="430"/>
      <c r="D16" s="430"/>
      <c r="E16" s="431"/>
      <c r="F16" s="97"/>
      <c r="G16" s="429" t="s">
        <v>266</v>
      </c>
      <c r="H16" s="430"/>
      <c r="I16" s="431"/>
      <c r="J16" s="97"/>
      <c r="K16" s="405"/>
      <c r="L16" s="406"/>
      <c r="M16" s="406"/>
      <c r="N16" s="406"/>
      <c r="O16" s="398">
        <f>$M$11-$K$13</f>
        <v>9.0000000000145519E-3</v>
      </c>
      <c r="P16" s="399"/>
      <c r="Q16" s="399"/>
      <c r="R16" s="400"/>
      <c r="S16" s="97"/>
    </row>
    <row r="17" spans="1:19" ht="24.95" customHeight="1" thickTop="1" thickBot="1" x14ac:dyDescent="0.25">
      <c r="A17" s="97"/>
      <c r="B17" s="97"/>
      <c r="C17" s="97"/>
      <c r="D17" s="97"/>
      <c r="E17" s="97"/>
      <c r="F17" s="97"/>
      <c r="G17" s="97"/>
      <c r="H17" s="97"/>
      <c r="I17" s="97"/>
      <c r="J17" s="97"/>
      <c r="K17" s="392" t="s">
        <v>269</v>
      </c>
      <c r="L17" s="393"/>
      <c r="M17" s="392" t="str">
        <f t="shared" ref="M17" si="2">IF($K$15="No Baskets","No Baskets",IF($K$15&gt;0,"N/A","Needs approval!"))</f>
        <v>N/A</v>
      </c>
      <c r="N17" s="393"/>
      <c r="O17" s="97"/>
      <c r="P17" s="97"/>
      <c r="Q17" s="97"/>
      <c r="R17" s="97"/>
      <c r="S17" s="97"/>
    </row>
    <row r="18" spans="1:19" ht="35.1" customHeight="1" thickTop="1" thickBot="1" x14ac:dyDescent="0.25">
      <c r="A18" s="97"/>
      <c r="B18" s="69" t="s">
        <v>0</v>
      </c>
      <c r="C18" s="415" t="str">
        <f>Overview!$E$3</f>
        <v>22314</v>
      </c>
      <c r="D18" s="415"/>
      <c r="E18" s="416" t="str">
        <f>Overview!$J$4</f>
        <v>Athena Racing (Athena Racing)</v>
      </c>
      <c r="F18" s="417"/>
      <c r="G18" s="417"/>
      <c r="H18" s="417"/>
      <c r="I18" s="417"/>
      <c r="J18" s="417"/>
      <c r="K18" s="416" t="str">
        <f>Overview!$E$20</f>
        <v>EPA-003150_01</v>
      </c>
      <c r="L18" s="417"/>
      <c r="M18" s="417"/>
      <c r="N18" s="417"/>
      <c r="O18" s="417"/>
      <c r="P18" s="418" t="s">
        <v>153</v>
      </c>
      <c r="Q18" s="419"/>
      <c r="R18" s="70" t="str">
        <f>Overview!$E$17</f>
        <v>20</v>
      </c>
      <c r="S18" s="97"/>
    </row>
    <row r="19" spans="1:19" ht="399.95" customHeight="1" thickTop="1" x14ac:dyDescent="0.2">
      <c r="A19" s="97"/>
      <c r="B19" s="9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</row>
  </sheetData>
  <mergeCells count="40">
    <mergeCell ref="O9:R9"/>
    <mergeCell ref="O10:P10"/>
    <mergeCell ref="K9:L9"/>
    <mergeCell ref="M11:N11"/>
    <mergeCell ref="K12:L12"/>
    <mergeCell ref="M12:N12"/>
    <mergeCell ref="M9:N9"/>
    <mergeCell ref="K4:R4"/>
    <mergeCell ref="K6:R6"/>
    <mergeCell ref="K7:N7"/>
    <mergeCell ref="O7:R7"/>
    <mergeCell ref="K8:L8"/>
    <mergeCell ref="M8:N8"/>
    <mergeCell ref="G2:I2"/>
    <mergeCell ref="C18:D18"/>
    <mergeCell ref="E18:J18"/>
    <mergeCell ref="K18:O18"/>
    <mergeCell ref="P18:Q18"/>
    <mergeCell ref="M17:N17"/>
    <mergeCell ref="K13:L13"/>
    <mergeCell ref="M13:N13"/>
    <mergeCell ref="O12:R12"/>
    <mergeCell ref="O13:P13"/>
    <mergeCell ref="Q13:R13"/>
    <mergeCell ref="O14:P14"/>
    <mergeCell ref="Q14:R14"/>
    <mergeCell ref="B2:E2"/>
    <mergeCell ref="B16:E16"/>
    <mergeCell ref="G16:I16"/>
    <mergeCell ref="K10:L10"/>
    <mergeCell ref="M10:N10"/>
    <mergeCell ref="K11:L11"/>
    <mergeCell ref="K17:L17"/>
    <mergeCell ref="O15:R15"/>
    <mergeCell ref="O16:R16"/>
    <mergeCell ref="K14:N14"/>
    <mergeCell ref="K15:N16"/>
    <mergeCell ref="Q10:R10"/>
    <mergeCell ref="O11:P11"/>
    <mergeCell ref="Q11:R11"/>
  </mergeCells>
  <conditionalFormatting sqref="C4:E15">
    <cfRule type="cellIs" dxfId="8" priority="9" operator="equal">
      <formula>""</formula>
    </cfRule>
  </conditionalFormatting>
  <conditionalFormatting sqref="H4:I15">
    <cfRule type="cellIs" dxfId="7" priority="8" operator="equal">
      <formula>""</formula>
    </cfRule>
  </conditionalFormatting>
  <conditionalFormatting sqref="K15:N16">
    <cfRule type="cellIs" dxfId="6" priority="3" stopIfTrue="1" operator="lessThan">
      <formula>0</formula>
    </cfRule>
    <cfRule type="cellIs" dxfId="5" priority="4" stopIfTrue="1" operator="equal">
      <formula>0</formula>
    </cfRule>
    <cfRule type="cellIs" dxfId="4" priority="5" stopIfTrue="1" operator="equal">
      <formula>"No Baskets"</formula>
    </cfRule>
    <cfRule type="cellIs" dxfId="3" priority="6" stopIfTrue="1" operator="greaterThanOrEqual">
      <formula>$K$11*0.1</formula>
    </cfRule>
    <cfRule type="cellIs" dxfId="2" priority="7" operator="lessThan">
      <formula>$K$11*0.1</formula>
    </cfRule>
  </conditionalFormatting>
  <conditionalFormatting sqref="O16:R16">
    <cfRule type="cellIs" dxfId="1" priority="1" operator="notBetween">
      <formula>-5</formula>
      <formula>5</formula>
    </cfRule>
    <cfRule type="cellIs" dxfId="0" priority="2" operator="between">
      <formula>-5</formula>
      <formula>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6638B-96C5-4596-9FE9-DD4FF7D88679}">
  <dimension ref="A1:L19"/>
  <sheetViews>
    <sheetView workbookViewId="0">
      <selection activeCell="I2" sqref="I2"/>
    </sheetView>
  </sheetViews>
  <sheetFormatPr defaultRowHeight="12.75" x14ac:dyDescent="0.2"/>
  <cols>
    <col min="1" max="1" width="5.140625" style="18" customWidth="1"/>
    <col min="2" max="2" width="9" style="18" customWidth="1"/>
    <col min="3" max="3" width="45.5703125" style="18" customWidth="1"/>
    <col min="4" max="4" width="13.140625" style="18" customWidth="1"/>
    <col min="5" max="6" width="11.140625" style="18" customWidth="1"/>
    <col min="8" max="8" width="15.7109375" bestFit="1" customWidth="1"/>
    <col min="9" max="9" width="25.7109375" customWidth="1"/>
    <col min="11" max="11" width="9.5703125" bestFit="1" customWidth="1"/>
  </cols>
  <sheetData>
    <row r="1" spans="1:12" ht="15" customHeight="1" x14ac:dyDescent="0.2">
      <c r="A1" s="127" t="s">
        <v>22</v>
      </c>
      <c r="B1" s="127" t="s">
        <v>295</v>
      </c>
      <c r="C1" s="127" t="s">
        <v>296</v>
      </c>
      <c r="D1" s="127" t="s">
        <v>297</v>
      </c>
      <c r="E1" s="127" t="s">
        <v>32</v>
      </c>
      <c r="F1" s="127" t="s">
        <v>298</v>
      </c>
      <c r="K1" s="131" t="s">
        <v>304</v>
      </c>
      <c r="L1" s="127" t="s">
        <v>305</v>
      </c>
    </row>
    <row r="2" spans="1:12" ht="15" customHeight="1" x14ac:dyDescent="0.2">
      <c r="A2" s="110">
        <v>1</v>
      </c>
      <c r="B2" s="110">
        <v>110</v>
      </c>
      <c r="C2" s="110">
        <v>3582887</v>
      </c>
      <c r="D2" s="110" t="s">
        <v>303</v>
      </c>
      <c r="E2" s="129">
        <v>0.14399999999999999</v>
      </c>
      <c r="F2" s="129">
        <v>15.839999999999998</v>
      </c>
      <c r="H2" s="127" t="s">
        <v>218</v>
      </c>
      <c r="I2" s="110" t="s">
        <v>2</v>
      </c>
      <c r="K2" s="110" t="s">
        <v>2</v>
      </c>
      <c r="L2" s="132">
        <f>COUNTA(K2:K51)</f>
        <v>1</v>
      </c>
    </row>
    <row r="3" spans="1:12" ht="15" customHeight="1" x14ac:dyDescent="0.2">
      <c r="A3" s="110">
        <v>2</v>
      </c>
      <c r="B3" s="110">
        <v>90</v>
      </c>
      <c r="C3" s="110">
        <v>3582814</v>
      </c>
      <c r="D3" s="110" t="s">
        <v>303</v>
      </c>
      <c r="E3" s="129">
        <v>4.8999999999999998E-3</v>
      </c>
      <c r="F3" s="129">
        <v>0.441</v>
      </c>
      <c r="H3" s="127" t="s">
        <v>297</v>
      </c>
      <c r="I3" s="44" t="s">
        <v>303</v>
      </c>
      <c r="K3" s="2"/>
    </row>
    <row r="4" spans="1:12" ht="15" customHeight="1" x14ac:dyDescent="0.2">
      <c r="A4" s="110">
        <v>3</v>
      </c>
      <c r="B4" s="110">
        <v>70</v>
      </c>
      <c r="C4" s="110">
        <v>3581351</v>
      </c>
      <c r="D4" s="110" t="s">
        <v>303</v>
      </c>
      <c r="E4" s="129">
        <v>2.5600000000000001E-2</v>
      </c>
      <c r="F4" s="129">
        <v>1.792</v>
      </c>
      <c r="H4" s="127" t="s">
        <v>300</v>
      </c>
      <c r="I4" s="129">
        <v>0</v>
      </c>
    </row>
    <row r="5" spans="1:12" ht="15" customHeight="1" x14ac:dyDescent="0.2">
      <c r="A5" s="110">
        <v>4</v>
      </c>
      <c r="B5" s="110">
        <v>90</v>
      </c>
      <c r="C5" s="110">
        <v>1414581</v>
      </c>
      <c r="D5" s="110" t="s">
        <v>303</v>
      </c>
      <c r="E5" s="129">
        <v>9.7999999999999997E-3</v>
      </c>
      <c r="F5" s="129">
        <v>0.88200000000000001</v>
      </c>
      <c r="H5" s="127"/>
      <c r="I5" s="110"/>
    </row>
    <row r="6" spans="1:12" ht="15" customHeight="1" x14ac:dyDescent="0.2">
      <c r="A6" s="110">
        <v>5</v>
      </c>
      <c r="B6" s="110">
        <v>70</v>
      </c>
      <c r="C6" s="110">
        <v>2525047</v>
      </c>
      <c r="D6" s="110" t="s">
        <v>303</v>
      </c>
      <c r="E6" s="129">
        <v>2.2599999999999999E-2</v>
      </c>
      <c r="F6" s="129">
        <v>1.5819999999999999</v>
      </c>
      <c r="H6" s="127"/>
      <c r="I6" s="110"/>
    </row>
    <row r="7" spans="1:12" ht="15" customHeight="1" x14ac:dyDescent="0.2">
      <c r="A7" s="110">
        <v>7</v>
      </c>
      <c r="B7" s="110">
        <v>90</v>
      </c>
      <c r="C7" s="110">
        <v>1800798</v>
      </c>
      <c r="D7" s="110" t="s">
        <v>303</v>
      </c>
      <c r="E7" s="129">
        <v>9.7999999999999997E-3</v>
      </c>
      <c r="F7" s="129">
        <v>0.88200000000000001</v>
      </c>
      <c r="H7" s="127" t="s">
        <v>301</v>
      </c>
      <c r="I7" s="129">
        <f>IFERROR($F$16, "Can't find total price!")</f>
        <v>41.991000000000007</v>
      </c>
    </row>
    <row r="8" spans="1:12" ht="15" customHeight="1" x14ac:dyDescent="0.2">
      <c r="A8" s="110">
        <v>8</v>
      </c>
      <c r="B8" s="110">
        <v>30</v>
      </c>
      <c r="C8" s="110">
        <v>2774580</v>
      </c>
      <c r="D8" s="110" t="s">
        <v>303</v>
      </c>
      <c r="E8" s="129">
        <v>6.83E-2</v>
      </c>
      <c r="F8" s="129">
        <v>2.0489999999999999</v>
      </c>
      <c r="H8" s="127" t="s">
        <v>302</v>
      </c>
      <c r="I8" s="129">
        <f>IFERROR(VLOOKUP($I$2,Purchasing!$B$4:$E$14,2,FALSE), "No basket price!")</f>
        <v>41.98</v>
      </c>
    </row>
    <row r="9" spans="1:12" ht="15" customHeight="1" x14ac:dyDescent="0.2">
      <c r="A9" s="110">
        <v>12</v>
      </c>
      <c r="B9" s="110">
        <v>30</v>
      </c>
      <c r="C9" s="110">
        <v>3405200</v>
      </c>
      <c r="D9" s="110" t="s">
        <v>303</v>
      </c>
      <c r="E9" s="129">
        <v>0.32100000000000001</v>
      </c>
      <c r="F9" s="129">
        <v>9.6300000000000008</v>
      </c>
      <c r="H9" s="127" t="s">
        <v>291</v>
      </c>
      <c r="I9" s="129">
        <f>IFERROR($I$7-$I$8, "No basket price!")</f>
        <v>1.1000000000009891E-2</v>
      </c>
    </row>
    <row r="10" spans="1:12" ht="15" customHeight="1" x14ac:dyDescent="0.2">
      <c r="A10" s="110">
        <v>13</v>
      </c>
      <c r="B10" s="110">
        <v>110</v>
      </c>
      <c r="C10" s="110">
        <v>1469683</v>
      </c>
      <c r="D10" s="110" t="s">
        <v>303</v>
      </c>
      <c r="E10" s="129">
        <v>3.5999999999999999E-3</v>
      </c>
      <c r="F10" s="129">
        <v>0.39</v>
      </c>
    </row>
    <row r="11" spans="1:12" ht="15" customHeight="1" x14ac:dyDescent="0.2">
      <c r="A11" s="110">
        <v>15</v>
      </c>
      <c r="B11" s="110">
        <v>60</v>
      </c>
      <c r="C11" s="110">
        <v>1469793</v>
      </c>
      <c r="D11" s="110" t="s">
        <v>303</v>
      </c>
      <c r="E11" s="129">
        <v>0.01</v>
      </c>
      <c r="F11" s="129">
        <v>0.6</v>
      </c>
    </row>
    <row r="12" spans="1:12" ht="15" customHeight="1" x14ac:dyDescent="0.2">
      <c r="A12" s="110">
        <v>16</v>
      </c>
      <c r="B12" s="110">
        <v>70</v>
      </c>
      <c r="C12" s="110">
        <v>2563621</v>
      </c>
      <c r="D12" s="110" t="s">
        <v>303</v>
      </c>
      <c r="E12" s="129">
        <v>3.6900000000000002E-2</v>
      </c>
      <c r="F12" s="129">
        <v>2.5830000000000002</v>
      </c>
    </row>
    <row r="13" spans="1:12" ht="15" customHeight="1" x14ac:dyDescent="0.2">
      <c r="A13" s="110">
        <v>18</v>
      </c>
      <c r="B13" s="110">
        <v>70</v>
      </c>
      <c r="C13" s="110">
        <v>2838469</v>
      </c>
      <c r="D13" s="110" t="s">
        <v>303</v>
      </c>
      <c r="E13" s="129">
        <v>7.5999999999999998E-2</v>
      </c>
      <c r="F13" s="129">
        <v>5.32</v>
      </c>
    </row>
    <row r="14" spans="1:12" ht="15" customHeight="1" x14ac:dyDescent="0.2">
      <c r="A14" s="110"/>
      <c r="B14" s="110"/>
      <c r="C14" s="110"/>
      <c r="D14" s="110"/>
      <c r="E14" s="129"/>
      <c r="F14" s="129"/>
    </row>
    <row r="15" spans="1:12" ht="15" customHeight="1" x14ac:dyDescent="0.2">
      <c r="A15" s="110"/>
      <c r="B15" s="110"/>
      <c r="C15" s="110"/>
      <c r="D15" s="110"/>
      <c r="E15" s="130"/>
      <c r="F15" s="130"/>
    </row>
    <row r="16" spans="1:12" ht="15" customHeight="1" x14ac:dyDescent="0.2">
      <c r="E16" s="20" t="s">
        <v>5</v>
      </c>
      <c r="F16" s="129">
        <f>SUM(F2:F15)</f>
        <v>41.991000000000007</v>
      </c>
    </row>
    <row r="17" spans="5:6" ht="15" customHeight="1" x14ac:dyDescent="0.2">
      <c r="E17" s="128" t="s">
        <v>227</v>
      </c>
      <c r="F17" s="129">
        <v>0</v>
      </c>
    </row>
    <row r="18" spans="5:6" ht="15" customHeight="1" x14ac:dyDescent="0.2">
      <c r="E18" s="128" t="s">
        <v>299</v>
      </c>
      <c r="F18" s="129">
        <f>(F16+F17)*0.2</f>
        <v>8.398200000000001</v>
      </c>
    </row>
    <row r="19" spans="5:6" ht="15" customHeight="1" x14ac:dyDescent="0.2">
      <c r="E19" s="128" t="s">
        <v>5</v>
      </c>
      <c r="F19" s="129">
        <f>F16+F17+F18</f>
        <v>50.38920000000001</v>
      </c>
    </row>
  </sheetData>
  <dataValidations count="1">
    <dataValidation type="list" allowBlank="1" sqref="I2" xr:uid="{AE0CDD45-169B-456B-A9D9-7C1B366A7782}">
      <formula1>K2:K2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1]!PO.createPO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1]!PO.updateSUP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7F046-A9A8-4827-955C-3619DAAFB07D}">
  <sheetPr>
    <tabColor rgb="FF7030A0"/>
  </sheetPr>
  <dimension ref="B1:G19"/>
  <sheetViews>
    <sheetView workbookViewId="0"/>
  </sheetViews>
  <sheetFormatPr defaultRowHeight="12.75" x14ac:dyDescent="0.2"/>
  <cols>
    <col min="2" max="2" width="9.28515625" customWidth="1"/>
    <col min="3" max="3" width="20.7109375" customWidth="1"/>
    <col min="4" max="4" width="55.7109375" customWidth="1"/>
    <col min="5" max="5" width="30.7109375" customWidth="1"/>
    <col min="6" max="6" width="13.28515625" customWidth="1"/>
  </cols>
  <sheetData>
    <row r="1" spans="2:7" x14ac:dyDescent="0.2">
      <c r="C1" s="29" t="s">
        <v>195</v>
      </c>
    </row>
    <row r="2" spans="2:7" ht="13.5" thickBot="1" x14ac:dyDescent="0.25">
      <c r="C2" s="30" t="str">
        <f>LOOKUP(2,1/(COUNTIF('Rev History'!$B$5:$B$19,"&gt;"&amp;'Rev History'!$B$5:$B$19&amp;"*")=0),'Rev History'!$B$5:$B$19)</f>
        <v>A</v>
      </c>
    </row>
    <row r="3" spans="2:7" ht="13.5" thickBot="1" x14ac:dyDescent="0.25"/>
    <row r="4" spans="2:7" ht="13.5" thickBot="1" x14ac:dyDescent="0.25">
      <c r="B4" s="26" t="s">
        <v>196</v>
      </c>
      <c r="C4" s="27" t="s">
        <v>197</v>
      </c>
      <c r="D4" s="27" t="s">
        <v>10</v>
      </c>
      <c r="E4" s="27" t="s">
        <v>198</v>
      </c>
      <c r="F4" s="28" t="s">
        <v>199</v>
      </c>
    </row>
    <row r="5" spans="2:7" x14ac:dyDescent="0.2">
      <c r="B5" s="38" t="s">
        <v>200</v>
      </c>
      <c r="C5" s="25" t="str">
        <f>Overview!$E$14</f>
        <v>Wioletta Cendrowska</v>
      </c>
      <c r="D5" s="37" t="s">
        <v>11</v>
      </c>
      <c r="E5" s="37" t="s">
        <v>201</v>
      </c>
      <c r="F5" s="34">
        <v>45169</v>
      </c>
      <c r="G5" s="22"/>
    </row>
    <row r="6" spans="2:7" x14ac:dyDescent="0.2">
      <c r="B6" s="39"/>
      <c r="C6" s="24"/>
      <c r="D6" s="32"/>
      <c r="E6" s="32"/>
      <c r="F6" s="35"/>
    </row>
    <row r="7" spans="2:7" x14ac:dyDescent="0.2">
      <c r="B7" s="39"/>
      <c r="C7" s="24"/>
      <c r="D7" s="32"/>
      <c r="E7" s="32"/>
      <c r="F7" s="35"/>
    </row>
    <row r="8" spans="2:7" x14ac:dyDescent="0.2">
      <c r="B8" s="39"/>
      <c r="C8" s="24"/>
      <c r="D8" s="32"/>
      <c r="E8" s="32"/>
      <c r="F8" s="35"/>
    </row>
    <row r="9" spans="2:7" x14ac:dyDescent="0.2">
      <c r="B9" s="39"/>
      <c r="C9" s="24"/>
      <c r="D9" s="32"/>
      <c r="E9" s="32"/>
      <c r="F9" s="35"/>
    </row>
    <row r="10" spans="2:7" x14ac:dyDescent="0.2">
      <c r="B10" s="39"/>
      <c r="C10" s="24"/>
      <c r="D10" s="32"/>
      <c r="E10" s="32"/>
      <c r="F10" s="35"/>
    </row>
    <row r="11" spans="2:7" x14ac:dyDescent="0.2">
      <c r="B11" s="39"/>
      <c r="C11" s="24"/>
      <c r="D11" s="32"/>
      <c r="E11" s="32"/>
      <c r="F11" s="35"/>
    </row>
    <row r="12" spans="2:7" x14ac:dyDescent="0.2">
      <c r="B12" s="39"/>
      <c r="C12" s="24"/>
      <c r="D12" s="32"/>
      <c r="E12" s="32"/>
      <c r="F12" s="35"/>
    </row>
    <row r="13" spans="2:7" x14ac:dyDescent="0.2">
      <c r="B13" s="39"/>
      <c r="C13" s="24"/>
      <c r="D13" s="32"/>
      <c r="E13" s="32"/>
      <c r="F13" s="35"/>
    </row>
    <row r="14" spans="2:7" x14ac:dyDescent="0.2">
      <c r="B14" s="39"/>
      <c r="C14" s="24"/>
      <c r="D14" s="32"/>
      <c r="E14" s="32"/>
      <c r="F14" s="35"/>
    </row>
    <row r="15" spans="2:7" x14ac:dyDescent="0.2">
      <c r="B15" s="39"/>
      <c r="C15" s="24"/>
      <c r="D15" s="32"/>
      <c r="E15" s="32"/>
      <c r="F15" s="35"/>
    </row>
    <row r="16" spans="2:7" x14ac:dyDescent="0.2">
      <c r="B16" s="39"/>
      <c r="C16" s="24"/>
      <c r="D16" s="32"/>
      <c r="E16" s="32"/>
      <c r="F16" s="35"/>
    </row>
    <row r="17" spans="2:6" x14ac:dyDescent="0.2">
      <c r="B17" s="39"/>
      <c r="C17" s="24"/>
      <c r="D17" s="32"/>
      <c r="E17" s="32"/>
      <c r="F17" s="35"/>
    </row>
    <row r="18" spans="2:6" x14ac:dyDescent="0.2">
      <c r="B18" s="39"/>
      <c r="C18" s="24"/>
      <c r="D18" s="32"/>
      <c r="E18" s="32"/>
      <c r="F18" s="35"/>
    </row>
    <row r="19" spans="2:6" ht="13.5" thickBot="1" x14ac:dyDescent="0.25">
      <c r="B19" s="40"/>
      <c r="C19" s="31"/>
      <c r="D19" s="33"/>
      <c r="E19" s="33"/>
      <c r="F19" s="3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FD5B2-76D2-4A5A-AAAE-47AE8956700C}">
  <sheetPr>
    <tabColor rgb="FF00B050"/>
  </sheetPr>
  <dimension ref="A1:AA19"/>
  <sheetViews>
    <sheetView workbookViewId="0">
      <selection sqref="A1:H1"/>
    </sheetView>
  </sheetViews>
  <sheetFormatPr defaultRowHeight="12.75" x14ac:dyDescent="0.2"/>
  <cols>
    <col min="2" max="2" width="9.140625" style="3"/>
    <col min="7" max="7" width="9.140625" style="3"/>
    <col min="14" max="14" width="9.140625" style="3"/>
    <col min="19" max="19" width="9.140625" style="3"/>
    <col min="27" max="27" width="9.140625" style="3"/>
  </cols>
  <sheetData>
    <row r="1" spans="1:27" x14ac:dyDescent="0.2">
      <c r="A1" s="1" t="s">
        <v>193</v>
      </c>
    </row>
    <row r="2" spans="1:27" x14ac:dyDescent="0.2">
      <c r="A2">
        <v>4</v>
      </c>
      <c r="B2">
        <v>1414581</v>
      </c>
      <c r="C2" t="s">
        <v>332</v>
      </c>
      <c r="D2" t="s">
        <v>317</v>
      </c>
      <c r="E2" t="s">
        <v>309</v>
      </c>
      <c r="F2">
        <v>90</v>
      </c>
      <c r="G2" t="s">
        <v>58</v>
      </c>
      <c r="H2" t="s">
        <v>337</v>
      </c>
      <c r="I2" t="s">
        <v>338</v>
      </c>
      <c r="J2">
        <v>405419</v>
      </c>
      <c r="K2">
        <v>9.7999999999999997E-3</v>
      </c>
      <c r="L2">
        <v>0.88</v>
      </c>
      <c r="AA2" s="3" t="s">
        <v>40</v>
      </c>
    </row>
    <row r="3" spans="1:27" x14ac:dyDescent="0.2">
      <c r="A3">
        <v>6</v>
      </c>
      <c r="B3">
        <v>1800798</v>
      </c>
      <c r="C3" t="s">
        <v>332</v>
      </c>
      <c r="D3" t="s">
        <v>319</v>
      </c>
      <c r="E3" t="s">
        <v>309</v>
      </c>
      <c r="F3">
        <v>90</v>
      </c>
      <c r="G3" t="s">
        <v>77</v>
      </c>
      <c r="H3" t="s">
        <v>337</v>
      </c>
      <c r="I3" t="s">
        <v>341</v>
      </c>
      <c r="J3">
        <v>36394</v>
      </c>
      <c r="K3">
        <v>9.7999999999999997E-3</v>
      </c>
      <c r="L3">
        <v>0.88</v>
      </c>
      <c r="AA3" s="3" t="s">
        <v>46</v>
      </c>
    </row>
    <row r="4" spans="1:27" x14ac:dyDescent="0.2">
      <c r="A4">
        <v>5</v>
      </c>
      <c r="B4">
        <v>2525047</v>
      </c>
      <c r="C4" t="s">
        <v>332</v>
      </c>
      <c r="D4" t="s">
        <v>318</v>
      </c>
      <c r="E4" t="s">
        <v>309</v>
      </c>
      <c r="F4">
        <v>70</v>
      </c>
      <c r="G4" t="s">
        <v>64</v>
      </c>
      <c r="H4" t="s">
        <v>339</v>
      </c>
      <c r="I4" t="s">
        <v>340</v>
      </c>
      <c r="J4">
        <v>326552</v>
      </c>
      <c r="K4">
        <v>2.2599999999999999E-2</v>
      </c>
      <c r="L4">
        <v>1.58</v>
      </c>
      <c r="AA4" s="3" t="s">
        <v>52</v>
      </c>
    </row>
    <row r="5" spans="1:27" x14ac:dyDescent="0.2">
      <c r="A5">
        <v>9</v>
      </c>
      <c r="B5">
        <v>1469683</v>
      </c>
      <c r="C5" t="s">
        <v>346</v>
      </c>
      <c r="D5" t="s">
        <v>322</v>
      </c>
      <c r="E5" t="s">
        <v>309</v>
      </c>
      <c r="F5">
        <v>110</v>
      </c>
      <c r="G5" t="s">
        <v>107</v>
      </c>
      <c r="H5" t="s">
        <v>347</v>
      </c>
      <c r="I5" t="s">
        <v>348</v>
      </c>
      <c r="J5">
        <v>352295</v>
      </c>
      <c r="K5">
        <v>3.5999999999999999E-3</v>
      </c>
      <c r="L5">
        <v>0.39</v>
      </c>
      <c r="AA5" s="3" t="s">
        <v>58</v>
      </c>
    </row>
    <row r="6" spans="1:27" x14ac:dyDescent="0.2">
      <c r="A6">
        <v>10</v>
      </c>
      <c r="B6">
        <v>1469793</v>
      </c>
      <c r="C6" t="s">
        <v>346</v>
      </c>
      <c r="D6" t="s">
        <v>323</v>
      </c>
      <c r="E6" t="s">
        <v>309</v>
      </c>
      <c r="F6">
        <v>60</v>
      </c>
      <c r="G6" t="s">
        <v>119</v>
      </c>
      <c r="H6" t="s">
        <v>347</v>
      </c>
      <c r="I6" t="s">
        <v>349</v>
      </c>
      <c r="J6">
        <v>39180</v>
      </c>
      <c r="K6">
        <v>0.01</v>
      </c>
      <c r="L6">
        <v>0.6</v>
      </c>
      <c r="N6" s="3" t="s">
        <v>360</v>
      </c>
      <c r="S6" s="3" t="s">
        <v>361</v>
      </c>
      <c r="AA6" s="3" t="s">
        <v>64</v>
      </c>
    </row>
    <row r="7" spans="1:27" x14ac:dyDescent="0.2">
      <c r="A7">
        <v>8</v>
      </c>
      <c r="B7">
        <v>3405200</v>
      </c>
      <c r="C7" t="s">
        <v>332</v>
      </c>
      <c r="D7" t="s">
        <v>321</v>
      </c>
      <c r="E7" t="s">
        <v>309</v>
      </c>
      <c r="F7">
        <v>30</v>
      </c>
      <c r="G7" t="s">
        <v>101</v>
      </c>
      <c r="H7" t="s">
        <v>344</v>
      </c>
      <c r="I7" t="s">
        <v>345</v>
      </c>
      <c r="J7">
        <v>6679</v>
      </c>
      <c r="K7">
        <v>0.32100000000000001</v>
      </c>
      <c r="L7">
        <v>9.6300000000000008</v>
      </c>
      <c r="AA7" s="3" t="s">
        <v>77</v>
      </c>
    </row>
    <row r="8" spans="1:27" x14ac:dyDescent="0.2">
      <c r="A8">
        <v>11</v>
      </c>
      <c r="B8">
        <v>2563621</v>
      </c>
      <c r="C8" t="s">
        <v>346</v>
      </c>
      <c r="D8" t="s">
        <v>324</v>
      </c>
      <c r="E8" t="s">
        <v>309</v>
      </c>
      <c r="F8">
        <v>70</v>
      </c>
      <c r="G8" t="s">
        <v>125</v>
      </c>
      <c r="H8" t="s">
        <v>350</v>
      </c>
      <c r="I8" t="s">
        <v>351</v>
      </c>
      <c r="J8">
        <v>26970</v>
      </c>
      <c r="K8">
        <v>3.6900000000000002E-2</v>
      </c>
      <c r="L8">
        <v>2.58</v>
      </c>
      <c r="AA8" s="3" t="s">
        <v>83</v>
      </c>
    </row>
    <row r="9" spans="1:27" x14ac:dyDescent="0.2">
      <c r="A9">
        <v>3</v>
      </c>
      <c r="B9">
        <v>3581351</v>
      </c>
      <c r="C9" t="s">
        <v>332</v>
      </c>
      <c r="D9" t="s">
        <v>316</v>
      </c>
      <c r="E9" t="s">
        <v>309</v>
      </c>
      <c r="F9">
        <v>70</v>
      </c>
      <c r="G9" t="s">
        <v>52</v>
      </c>
      <c r="H9" t="s">
        <v>333</v>
      </c>
      <c r="I9" t="s">
        <v>336</v>
      </c>
      <c r="J9">
        <v>16810</v>
      </c>
      <c r="K9">
        <v>2.5600000000000001E-2</v>
      </c>
      <c r="L9">
        <v>1.79</v>
      </c>
      <c r="AA9" s="3" t="s">
        <v>101</v>
      </c>
    </row>
    <row r="10" spans="1:27" x14ac:dyDescent="0.2">
      <c r="A10">
        <v>2</v>
      </c>
      <c r="B10">
        <v>3582814</v>
      </c>
      <c r="C10" t="s">
        <v>332</v>
      </c>
      <c r="D10" t="s">
        <v>315</v>
      </c>
      <c r="E10" t="s">
        <v>309</v>
      </c>
      <c r="F10">
        <v>90</v>
      </c>
      <c r="G10" t="s">
        <v>46</v>
      </c>
      <c r="H10" t="s">
        <v>333</v>
      </c>
      <c r="I10" t="s">
        <v>335</v>
      </c>
      <c r="J10">
        <v>1160</v>
      </c>
      <c r="K10">
        <v>4.8999999999999998E-3</v>
      </c>
      <c r="L10">
        <v>0.44</v>
      </c>
      <c r="AA10" s="3" t="s">
        <v>107</v>
      </c>
    </row>
    <row r="11" spans="1:27" x14ac:dyDescent="0.2">
      <c r="A11">
        <v>1</v>
      </c>
      <c r="B11">
        <v>3582887</v>
      </c>
      <c r="C11" t="s">
        <v>332</v>
      </c>
      <c r="D11" t="s">
        <v>314</v>
      </c>
      <c r="E11" t="s">
        <v>309</v>
      </c>
      <c r="F11">
        <v>110</v>
      </c>
      <c r="G11" t="s">
        <v>40</v>
      </c>
      <c r="H11" t="s">
        <v>333</v>
      </c>
      <c r="I11" t="s">
        <v>334</v>
      </c>
      <c r="J11">
        <v>5270</v>
      </c>
      <c r="K11">
        <v>0.14399999999999999</v>
      </c>
      <c r="L11">
        <v>15.84</v>
      </c>
      <c r="AA11" s="3" t="s">
        <v>119</v>
      </c>
    </row>
    <row r="12" spans="1:27" x14ac:dyDescent="0.2">
      <c r="A12">
        <v>12</v>
      </c>
      <c r="B12">
        <v>2838469</v>
      </c>
      <c r="C12" t="s">
        <v>332</v>
      </c>
      <c r="D12" t="s">
        <v>325</v>
      </c>
      <c r="E12" t="s">
        <v>309</v>
      </c>
      <c r="F12">
        <v>70</v>
      </c>
      <c r="G12" t="s">
        <v>137</v>
      </c>
      <c r="H12" t="s">
        <v>352</v>
      </c>
      <c r="I12" t="s">
        <v>353</v>
      </c>
      <c r="J12">
        <v>3820</v>
      </c>
      <c r="K12">
        <v>7.5999999999999998E-2</v>
      </c>
      <c r="L12">
        <v>5.32</v>
      </c>
      <c r="AA12" s="3" t="s">
        <v>125</v>
      </c>
    </row>
    <row r="13" spans="1:27" x14ac:dyDescent="0.2">
      <c r="A13">
        <v>7</v>
      </c>
      <c r="B13">
        <v>2774580</v>
      </c>
      <c r="C13" t="s">
        <v>332</v>
      </c>
      <c r="D13" t="s">
        <v>320</v>
      </c>
      <c r="E13" t="s">
        <v>309</v>
      </c>
      <c r="F13">
        <v>30</v>
      </c>
      <c r="G13" t="s">
        <v>83</v>
      </c>
      <c r="H13" t="s">
        <v>342</v>
      </c>
      <c r="I13" t="s">
        <v>343</v>
      </c>
      <c r="J13">
        <v>6230</v>
      </c>
      <c r="K13">
        <v>6.83E-2</v>
      </c>
      <c r="L13">
        <v>2.0499999999999998</v>
      </c>
      <c r="AA13" s="3" t="s">
        <v>137</v>
      </c>
    </row>
    <row r="14" spans="1:27" x14ac:dyDescent="0.2">
      <c r="B14"/>
      <c r="G14"/>
    </row>
    <row r="15" spans="1:27" x14ac:dyDescent="0.2">
      <c r="B15"/>
      <c r="G15"/>
      <c r="H15" t="s">
        <v>354</v>
      </c>
      <c r="I15">
        <v>41.98</v>
      </c>
    </row>
    <row r="16" spans="1:27" x14ac:dyDescent="0.2">
      <c r="B16"/>
      <c r="G16"/>
      <c r="H16" t="s">
        <v>355</v>
      </c>
      <c r="I16">
        <v>41.98</v>
      </c>
    </row>
    <row r="17" spans="2:9" x14ac:dyDescent="0.2">
      <c r="B17"/>
      <c r="G17"/>
      <c r="H17" t="s">
        <v>227</v>
      </c>
      <c r="I17">
        <v>0</v>
      </c>
    </row>
    <row r="18" spans="2:9" x14ac:dyDescent="0.2">
      <c r="B18"/>
      <c r="G18"/>
      <c r="H18" t="s">
        <v>299</v>
      </c>
      <c r="I18">
        <v>8.4</v>
      </c>
    </row>
    <row r="19" spans="2:9" x14ac:dyDescent="0.2">
      <c r="B19"/>
      <c r="G19"/>
      <c r="H19" t="s">
        <v>5</v>
      </c>
      <c r="I19">
        <v>50.38</v>
      </c>
    </row>
  </sheetData>
  <autoFilter ref="A1:M1" xr:uid="{8E9FD5B2-76D2-4A5A-AAAE-47AE8956700C}">
    <sortState xmlns:xlrd2="http://schemas.microsoft.com/office/spreadsheetml/2017/richdata2" ref="A2:M13">
      <sortCondition ref="G1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46217-DEEC-4A10-BE66-BE4D840F341C}">
  <sheetPr>
    <tabColor rgb="FFFF0000"/>
  </sheetPr>
  <dimension ref="A1:AA6"/>
  <sheetViews>
    <sheetView workbookViewId="0"/>
  </sheetViews>
  <sheetFormatPr defaultRowHeight="12.75" x14ac:dyDescent="0.2"/>
  <cols>
    <col min="3" max="4" width="9.140625" style="3"/>
    <col min="14" max="14" width="9.140625" style="3"/>
    <col min="19" max="19" width="9.140625" style="3"/>
    <col min="27" max="27" width="9.140625" style="3"/>
  </cols>
  <sheetData>
    <row r="1" spans="1:27" x14ac:dyDescent="0.2">
      <c r="A1" s="1" t="s">
        <v>193</v>
      </c>
    </row>
    <row r="2" spans="1:27" ht="15" x14ac:dyDescent="0.25">
      <c r="A2" s="140">
        <v>3</v>
      </c>
      <c r="B2" s="140">
        <v>100</v>
      </c>
      <c r="C2" s="139" t="s">
        <v>132</v>
      </c>
      <c r="D2" s="139" t="s">
        <v>131</v>
      </c>
      <c r="E2" s="139" t="s">
        <v>358</v>
      </c>
      <c r="F2" s="139" t="s">
        <v>328</v>
      </c>
      <c r="G2" s="140">
        <v>100</v>
      </c>
      <c r="H2" s="140">
        <v>0</v>
      </c>
      <c r="I2" s="139">
        <v>0.29670000000000002</v>
      </c>
      <c r="J2" s="141">
        <v>29.67</v>
      </c>
      <c r="AA2" s="3" t="s">
        <v>71</v>
      </c>
    </row>
    <row r="3" spans="1:27" ht="15" x14ac:dyDescent="0.25">
      <c r="A3" s="140">
        <v>1</v>
      </c>
      <c r="B3" s="140">
        <v>140</v>
      </c>
      <c r="C3" s="139" t="s">
        <v>72</v>
      </c>
      <c r="D3" s="139" t="s">
        <v>71</v>
      </c>
      <c r="E3" s="139" t="s">
        <v>356</v>
      </c>
      <c r="F3" s="139" t="s">
        <v>326</v>
      </c>
      <c r="G3" s="140">
        <v>140</v>
      </c>
      <c r="H3" s="140">
        <v>0</v>
      </c>
      <c r="I3" s="139">
        <v>0.25469999999999998</v>
      </c>
      <c r="J3" s="141">
        <v>35.659999999999997</v>
      </c>
      <c r="AA3" s="3" t="s">
        <v>113</v>
      </c>
    </row>
    <row r="4" spans="1:27" ht="15" x14ac:dyDescent="0.25">
      <c r="A4" s="140">
        <v>4</v>
      </c>
      <c r="B4" s="140">
        <v>20</v>
      </c>
      <c r="C4" s="139" t="s">
        <v>144</v>
      </c>
      <c r="D4" s="139" t="s">
        <v>143</v>
      </c>
      <c r="E4" s="139" t="s">
        <v>359</v>
      </c>
      <c r="F4" s="139" t="s">
        <v>329</v>
      </c>
      <c r="G4" s="140">
        <v>20</v>
      </c>
      <c r="H4" s="140">
        <v>0</v>
      </c>
      <c r="I4" s="139">
        <v>8.6140000000000008</v>
      </c>
      <c r="J4" s="141">
        <v>172.28</v>
      </c>
      <c r="AA4" s="3" t="s">
        <v>131</v>
      </c>
    </row>
    <row r="5" spans="1:27" ht="15" x14ac:dyDescent="0.25">
      <c r="A5" s="140">
        <v>2</v>
      </c>
      <c r="B5" s="140">
        <v>100</v>
      </c>
      <c r="C5" s="139" t="s">
        <v>114</v>
      </c>
      <c r="D5" s="139" t="s">
        <v>113</v>
      </c>
      <c r="E5" s="139" t="s">
        <v>357</v>
      </c>
      <c r="F5" s="139" t="s">
        <v>327</v>
      </c>
      <c r="G5" s="140">
        <v>100</v>
      </c>
      <c r="H5" s="140">
        <v>0</v>
      </c>
      <c r="I5" s="139">
        <v>0.1018</v>
      </c>
      <c r="J5" s="141">
        <v>10.18</v>
      </c>
      <c r="AA5" s="3" t="s">
        <v>143</v>
      </c>
    </row>
    <row r="6" spans="1:27" x14ac:dyDescent="0.2">
      <c r="N6" s="3" t="s">
        <v>360</v>
      </c>
      <c r="S6" s="3" t="s">
        <v>361</v>
      </c>
    </row>
  </sheetData>
  <autoFilter ref="A1:J1" xr:uid="{F4F46217-DEEC-4A10-BE66-BE4D840F341C}">
    <sortState xmlns:xlrd2="http://schemas.microsoft.com/office/spreadsheetml/2017/richdata2" ref="A2:J5">
      <sortCondition ref="D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19119-52E0-432A-8B8E-66C7C5BC3AB7}">
  <sheetPr>
    <tabColor theme="3"/>
  </sheetPr>
  <dimension ref="A1:AA1"/>
  <sheetViews>
    <sheetView workbookViewId="0"/>
  </sheetViews>
  <sheetFormatPr defaultRowHeight="12.75" x14ac:dyDescent="0.2"/>
  <cols>
    <col min="2" max="3" width="9.140625" style="3"/>
    <col min="14" max="14" width="9.140625" style="3"/>
    <col min="19" max="19" width="9.140625" style="3"/>
    <col min="27" max="27" width="9.140625" style="3"/>
  </cols>
  <sheetData>
    <row r="1" spans="1:1" x14ac:dyDescent="0.2">
      <c r="A1" s="1" t="s">
        <v>193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1D572-FD92-45C1-AF07-994A781407CF}">
  <sheetPr>
    <tabColor theme="1"/>
  </sheetPr>
  <dimension ref="A1:AE30"/>
  <sheetViews>
    <sheetView workbookViewId="0">
      <selection activeCell="P2" sqref="P2"/>
    </sheetView>
  </sheetViews>
  <sheetFormatPr defaultRowHeight="12.75" x14ac:dyDescent="0.2"/>
  <cols>
    <col min="1" max="17" width="15.7109375" style="18" customWidth="1"/>
    <col min="18" max="16384" width="9.140625" style="18"/>
  </cols>
  <sheetData>
    <row r="1" spans="1:31" ht="38.1" customHeight="1" x14ac:dyDescent="0.2">
      <c r="A1" s="19" t="s">
        <v>183</v>
      </c>
      <c r="B1" s="19" t="s">
        <v>184</v>
      </c>
      <c r="C1" s="19" t="s">
        <v>185</v>
      </c>
      <c r="D1" s="19" t="s">
        <v>186</v>
      </c>
      <c r="E1" s="19" t="s">
        <v>187</v>
      </c>
      <c r="F1" s="19" t="s">
        <v>23</v>
      </c>
      <c r="G1" s="19" t="s">
        <v>170</v>
      </c>
      <c r="H1" s="19" t="s">
        <v>188</v>
      </c>
      <c r="I1" s="19" t="s">
        <v>174</v>
      </c>
      <c r="J1" s="19" t="s">
        <v>173</v>
      </c>
      <c r="K1" s="19" t="s">
        <v>175</v>
      </c>
      <c r="L1" s="19" t="s">
        <v>171</v>
      </c>
      <c r="M1" s="19" t="s">
        <v>189</v>
      </c>
      <c r="N1" s="19" t="s">
        <v>190</v>
      </c>
      <c r="O1" s="19" t="s">
        <v>191</v>
      </c>
      <c r="P1" s="19" t="s">
        <v>192</v>
      </c>
      <c r="Q1" s="19" t="s">
        <v>202</v>
      </c>
      <c r="R1" s="19" t="s">
        <v>203</v>
      </c>
      <c r="S1" s="19" t="s">
        <v>204</v>
      </c>
      <c r="T1" s="19" t="s">
        <v>205</v>
      </c>
      <c r="U1" s="19" t="s">
        <v>206</v>
      </c>
      <c r="V1" s="19" t="s">
        <v>207</v>
      </c>
      <c r="W1" s="19" t="s">
        <v>208</v>
      </c>
      <c r="X1" s="19" t="s">
        <v>210</v>
      </c>
      <c r="Y1" s="19" t="s">
        <v>211</v>
      </c>
      <c r="Z1" s="19" t="s">
        <v>212</v>
      </c>
      <c r="AA1" s="19" t="s">
        <v>213</v>
      </c>
      <c r="AB1" s="19" t="s">
        <v>214</v>
      </c>
      <c r="AC1" s="19" t="s">
        <v>3</v>
      </c>
      <c r="AD1" s="19" t="s">
        <v>215</v>
      </c>
      <c r="AE1" s="19" t="s">
        <v>216</v>
      </c>
    </row>
    <row r="2" spans="1:31" x14ac:dyDescent="0.2">
      <c r="A2" s="18">
        <f>IF(BOM!P10="",0,IF(BOM!T10&lt;=BOM!P10,IF(ISNUMBER(SEARCH("exact",BOM!W10))=TRUE,2,IF(OR(F2=1,J2=1,K2=1),1,3)),1))</f>
        <v>1</v>
      </c>
      <c r="B2" s="18">
        <f>IF(BOM!O10="",0,IF(ISNUMBER(SEARCH(BOM!O10,BOM!M10))=TRUE,1,0))</f>
        <v>1</v>
      </c>
      <c r="C2" s="18">
        <f>IF(BOM!Q10="",0,IF(ISNUMBER(SEARCH(BOM!Q10,BOM!M10))=TRUE,1,0))</f>
        <v>0</v>
      </c>
      <c r="D2" s="18">
        <f>IF(OR($B2=1,$C2=1),1,IF(OR(F2=1,J2=1,K2=1),1,0))</f>
        <v>1</v>
      </c>
      <c r="E2" s="18">
        <f>IF(AND(OR($A2=1,$A2=2,$F2=1,$J2=1),OR($B2=1,$C2=1,$F2=1,$H2=1,$J2=1,$K2=1)),1,0)</f>
        <v>1</v>
      </c>
      <c r="F2" s="18">
        <f>IF(OR(BOM!$H10="true",BOM!$N10="FI",BOM!$N10="Free Issue"),1,0)</f>
        <v>0</v>
      </c>
      <c r="G2" s="18">
        <f>IF(OR(ISNUMBER(SEARCH("approved",BOM!W10)),ISNUMBER(SEARCH("ok to use",BOM!W10)))=TRUE,0,(IF(OR(ISNUMBER(SEARCH("alt",BOM!W10)),ISNUMBER(SEARCH("alternative",BOM!W10)))=TRUE,1,0)))</f>
        <v>0</v>
      </c>
      <c r="H2" s="18">
        <f>IF(OR(ISNUMBER(SEARCH("approved",BOM!W10)),ISNUMBER(SEARCH("ok to use",BOM!W10)))=TRUE,1,0)</f>
        <v>0</v>
      </c>
      <c r="I2" s="18">
        <f>IF(OR(ISNUMBER(SEARCH("long lead",BOM!W10)),ISNUMBER(SEARCH("longlead",BOM!W10)))=TRUE,1,0)</f>
        <v>0</v>
      </c>
      <c r="J2" s="18">
        <f>IF(OR(ISNUMBER(SEARCH("c",BOM!S10)),ISNUMBER(SEARCH("r",BOM!S10)),(BOM!N10="Stock"))=TRUE,1,0)</f>
        <v>0</v>
      </c>
      <c r="K2" s="18">
        <f>IF(OR(ISNUMBER(SEARCH("dnp",BOM!W10)),ISNUMBER(SEARCH("dnf",BOM!W10)),ISNUMBER(SEARCH("not fitted",BOM!W10)))=TRUE,1,0)</f>
        <v>0</v>
      </c>
      <c r="L2" s="18">
        <f>IF(AND(OR(BOM!$Q10="",BOM!$O10=""),BOM!$J10&gt;0),IF(OR($F2=1,$J2=1,$K2=1),0,1),0)</f>
        <v>0</v>
      </c>
      <c r="M2" s="18">
        <f>(BOM!$T10-BOM!$P10)*BOM!$U10</f>
        <v>4.3199999999999994</v>
      </c>
      <c r="N2" s="18">
        <f>COUNTIF(BOM!$N:$N,"Farnell")</f>
        <v>12</v>
      </c>
      <c r="O2" s="18">
        <f>COUNTIF(BOM!$N:$N,"Digi-Key")</f>
        <v>4</v>
      </c>
      <c r="P2" s="18">
        <v>3</v>
      </c>
      <c r="Q2" s="18">
        <f>COUNTIF(BOM!$N:$N,"Mouser")</f>
        <v>0</v>
      </c>
      <c r="R2" s="18">
        <f>COUNTIF(BCFAR!$A:$A,"&gt;0")</f>
        <v>12</v>
      </c>
      <c r="S2" s="18">
        <f>COUNTIF(BCDIG!$A:$A,"&gt;0")</f>
        <v>4</v>
      </c>
      <c r="T2" s="18">
        <f>COUNTIF(BCMOU!$A$10:$A$500,"&gt;0")</f>
        <v>0</v>
      </c>
      <c r="U2" s="18">
        <v>0</v>
      </c>
      <c r="V2" s="18">
        <v>0</v>
      </c>
      <c r="W2" s="18" t="s">
        <v>209</v>
      </c>
      <c r="X2" s="18">
        <v>0</v>
      </c>
      <c r="Y2" s="18">
        <v>0</v>
      </c>
      <c r="Z2" s="42">
        <v>45169.636793981481</v>
      </c>
      <c r="AA2" s="18">
        <f>SUM($L:$L)</f>
        <v>0</v>
      </c>
      <c r="AB2" s="18">
        <v>0</v>
      </c>
      <c r="AC2" s="18">
        <f>COUNTIF(BOM!$N:$N,"RS")</f>
        <v>0</v>
      </c>
      <c r="AE2" s="18">
        <f>IFERROR((Purchasing!Q14/Purchasing!K11),"0")</f>
        <v>2.4629587024042412E-2</v>
      </c>
    </row>
    <row r="3" spans="1:31" x14ac:dyDescent="0.2">
      <c r="A3" s="18">
        <f>IF(BOM!P11="",0,IF(BOM!T11&lt;=BOM!P11,IF(ISNUMBER(SEARCH("exact",BOM!W11))=TRUE,2,IF(OR(F3=1,J3=1,K3=1),1,3)),1))</f>
        <v>1</v>
      </c>
      <c r="B3" s="18">
        <f>IF(BOM!O11="",0,IF(ISNUMBER(SEARCH(BOM!O11,BOM!M11))=TRUE,1,0))</f>
        <v>1</v>
      </c>
      <c r="C3" s="18">
        <f>IF(BOM!Q11="",0,IF(ISNUMBER(SEARCH(BOM!Q11,BOM!M11))=TRUE,1,0))</f>
        <v>0</v>
      </c>
      <c r="D3" s="18">
        <f t="shared" ref="D3:D20" si="0">IF(OR($B3=1,$C3=1),1,IF(OR(F3=1,J3=1,K3=1),1,0))</f>
        <v>1</v>
      </c>
      <c r="E3" s="18">
        <f t="shared" ref="E3:E20" si="1">IF(AND(OR($A3=1,$A3=2,$F3=1,$J3=1),OR($B3=1,$C3=1,$F3=1,$H3=1,$J3=1,$K3=1)),1,0)</f>
        <v>1</v>
      </c>
      <c r="F3" s="18">
        <f>IF(OR(BOM!$H11="true",BOM!$N11="FI",BOM!$N11="Free Issue"),1,0)</f>
        <v>0</v>
      </c>
      <c r="G3" s="18">
        <f>IF(OR(ISNUMBER(SEARCH("approved",BOM!W11)),ISNUMBER(SEARCH("ok to use",BOM!W11)))=TRUE,0,(IF(OR(ISNUMBER(SEARCH("alt",BOM!W11)),ISNUMBER(SEARCH("alternative",BOM!W11)))=TRUE,1,0)))</f>
        <v>0</v>
      </c>
      <c r="H3" s="18">
        <f>IF(OR(ISNUMBER(SEARCH("approved",BOM!W11)),ISNUMBER(SEARCH("ok to use",BOM!W11)))=TRUE,1,0)</f>
        <v>0</v>
      </c>
      <c r="I3" s="18">
        <f>IF(OR(ISNUMBER(SEARCH("long lead",BOM!W11)),ISNUMBER(SEARCH("longlead",BOM!W11)))=TRUE,1,0)</f>
        <v>0</v>
      </c>
      <c r="J3" s="18">
        <f>IF(OR(ISNUMBER(SEARCH("c",BOM!S11)),ISNUMBER(SEARCH("r",BOM!S11)),(BOM!N11="Stock"))=TRUE,1,0)</f>
        <v>0</v>
      </c>
      <c r="K3" s="18">
        <f>IF(OR(ISNUMBER(SEARCH("dnp",BOM!W11)),ISNUMBER(SEARCH("dnf",BOM!W11)),ISNUMBER(SEARCH("not fitted",BOM!W11)))=TRUE,1,0)</f>
        <v>0</v>
      </c>
      <c r="L3" s="18">
        <f>IF(AND(OR(BOM!$Q11="",BOM!$O11=""),BOM!$J11&gt;0),IF(OR($F3=1,$J3=1,$K3=1),0,1),0)</f>
        <v>0</v>
      </c>
      <c r="M3" s="18">
        <f>(BOM!$T11-BOM!$P11)*BOM!$U11</f>
        <v>0.245</v>
      </c>
      <c r="P3" s="18">
        <v>1</v>
      </c>
      <c r="U3" s="18">
        <v>0</v>
      </c>
      <c r="X3" s="18">
        <v>0</v>
      </c>
      <c r="Y3" s="18">
        <v>0</v>
      </c>
      <c r="AA3" s="18">
        <f>SUM($E:$E)</f>
        <v>18</v>
      </c>
      <c r="AB3" s="18">
        <v>0</v>
      </c>
      <c r="AE3" s="18">
        <f>IFERROR(Purchasing!K15/Purchasing!K11,"No Baskets")</f>
        <v>2.4634763602898971E-2</v>
      </c>
    </row>
    <row r="4" spans="1:31" x14ac:dyDescent="0.2">
      <c r="A4" s="18">
        <f>IF(BOM!P12="",0,IF(BOM!T12&lt;=BOM!P12,IF(ISNUMBER(SEARCH("exact",BOM!W12))=TRUE,2,IF(OR(F4=1,J4=1,K4=1),1,3)),1))</f>
        <v>1</v>
      </c>
      <c r="B4" s="18">
        <f>IF(BOM!O12="",0,IF(ISNUMBER(SEARCH(BOM!O12,BOM!M12))=TRUE,1,0))</f>
        <v>1</v>
      </c>
      <c r="C4" s="18">
        <f>IF(BOM!Q12="",0,IF(ISNUMBER(SEARCH(BOM!Q12,BOM!M12))=TRUE,1,0))</f>
        <v>0</v>
      </c>
      <c r="D4" s="18">
        <f t="shared" si="0"/>
        <v>1</v>
      </c>
      <c r="E4" s="18">
        <f t="shared" si="1"/>
        <v>1</v>
      </c>
      <c r="F4" s="18">
        <f>IF(OR(BOM!$H12="true",BOM!$N12="FI",BOM!$N12="Free Issue"),1,0)</f>
        <v>0</v>
      </c>
      <c r="G4" s="18">
        <f>IF(OR(ISNUMBER(SEARCH("approved",BOM!W12)),ISNUMBER(SEARCH("ok to use",BOM!W12)))=TRUE,0,(IF(OR(ISNUMBER(SEARCH("alt",BOM!W12)),ISNUMBER(SEARCH("alternative",BOM!W12)))=TRUE,1,0)))</f>
        <v>0</v>
      </c>
      <c r="H4" s="18">
        <f>IF(OR(ISNUMBER(SEARCH("approved",BOM!W12)),ISNUMBER(SEARCH("ok to use",BOM!W12)))=TRUE,1,0)</f>
        <v>0</v>
      </c>
      <c r="I4" s="18">
        <f>IF(OR(ISNUMBER(SEARCH("long lead",BOM!W12)),ISNUMBER(SEARCH("longlead",BOM!W12)))=TRUE,1,0)</f>
        <v>0</v>
      </c>
      <c r="J4" s="18">
        <f>IF(OR(ISNUMBER(SEARCH("c",BOM!S12)),ISNUMBER(SEARCH("r",BOM!S12)),(BOM!N12="Stock"))=TRUE,1,0)</f>
        <v>0</v>
      </c>
      <c r="K4" s="18">
        <f>IF(OR(ISNUMBER(SEARCH("dnp",BOM!W12)),ISNUMBER(SEARCH("dnf",BOM!W12)),ISNUMBER(SEARCH("not fitted",BOM!W12)))=TRUE,1,0)</f>
        <v>0</v>
      </c>
      <c r="L4" s="18">
        <f>IF(AND(OR(BOM!$Q12="",BOM!$O12=""),BOM!$J12&gt;0),IF(OR($F4=1,$J4=1,$K4=1),0,1),0)</f>
        <v>0</v>
      </c>
      <c r="M4" s="18">
        <f>(BOM!$T12-BOM!$P12)*BOM!$U12</f>
        <v>1.28</v>
      </c>
      <c r="O4" s="41"/>
      <c r="P4" s="18">
        <v>1</v>
      </c>
      <c r="U4" s="18">
        <v>0</v>
      </c>
      <c r="X4" s="18">
        <v>0</v>
      </c>
      <c r="Y4" s="18">
        <v>0</v>
      </c>
      <c r="AA4" s="18">
        <f>SUM($X:$X)</f>
        <v>0</v>
      </c>
      <c r="AB4" s="18">
        <v>0</v>
      </c>
      <c r="AE4" s="18" t="str">
        <f>IF(SUM(BOM!AU:AU)=0,"N/A",SUMIF(BOM!AW:AW, "&gt;0"))</f>
        <v>N/A</v>
      </c>
    </row>
    <row r="5" spans="1:31" x14ac:dyDescent="0.2">
      <c r="A5" s="18">
        <f>IF(BOM!P13="",0,IF(BOM!T13&lt;=BOM!P13,IF(ISNUMBER(SEARCH("exact",BOM!W13))=TRUE,2,IF(OR(F5=1,J5=1,K5=1),1,3)),1))</f>
        <v>1</v>
      </c>
      <c r="B5" s="18">
        <f>IF(BOM!O13="",0,IF(ISNUMBER(SEARCH(BOM!O13,BOM!M13))=TRUE,1,0))</f>
        <v>1</v>
      </c>
      <c r="C5" s="18">
        <f>IF(BOM!Q13="",0,IF(ISNUMBER(SEARCH(BOM!Q13,BOM!M13))=TRUE,1,0))</f>
        <v>1</v>
      </c>
      <c r="D5" s="18">
        <f t="shared" si="0"/>
        <v>1</v>
      </c>
      <c r="E5" s="18">
        <f t="shared" si="1"/>
        <v>1</v>
      </c>
      <c r="F5" s="18">
        <f>IF(OR(BOM!$H13="true",BOM!$N13="FI",BOM!$N13="Free Issue"),1,0)</f>
        <v>0</v>
      </c>
      <c r="G5" s="18">
        <f>IF(OR(ISNUMBER(SEARCH("approved",BOM!W13)),ISNUMBER(SEARCH("ok to use",BOM!W13)))=TRUE,0,(IF(OR(ISNUMBER(SEARCH("alt",BOM!W13)),ISNUMBER(SEARCH("alternative",BOM!W13)))=TRUE,1,0)))</f>
        <v>0</v>
      </c>
      <c r="H5" s="18">
        <f>IF(OR(ISNUMBER(SEARCH("approved",BOM!W13)),ISNUMBER(SEARCH("ok to use",BOM!W13)))=TRUE,1,0)</f>
        <v>0</v>
      </c>
      <c r="I5" s="18">
        <f>IF(OR(ISNUMBER(SEARCH("long lead",BOM!W13)),ISNUMBER(SEARCH("longlead",BOM!W13)))=TRUE,1,0)</f>
        <v>0</v>
      </c>
      <c r="J5" s="18">
        <f>IF(OR(ISNUMBER(SEARCH("c",BOM!S13)),ISNUMBER(SEARCH("r",BOM!S13)),(BOM!N13="Stock"))=TRUE,1,0)</f>
        <v>0</v>
      </c>
      <c r="K5" s="18">
        <f>IF(OR(ISNUMBER(SEARCH("dnp",BOM!W13)),ISNUMBER(SEARCH("dnf",BOM!W13)),ISNUMBER(SEARCH("not fitted",BOM!W13)))=TRUE,1,0)</f>
        <v>0</v>
      </c>
      <c r="L5" s="18">
        <f>IF(AND(OR(BOM!$Q13="",BOM!$O13=""),BOM!$J13&gt;0),IF(OR($F5=1,$J5=1,$K5=1),0,1),0)</f>
        <v>0</v>
      </c>
      <c r="M5" s="18">
        <f>(BOM!$T13-BOM!$P13)*BOM!$U13</f>
        <v>0.49</v>
      </c>
      <c r="P5" s="18">
        <v>0</v>
      </c>
      <c r="U5" s="18">
        <v>0</v>
      </c>
      <c r="X5" s="18">
        <v>0</v>
      </c>
      <c r="Y5" s="18">
        <v>0</v>
      </c>
      <c r="AA5" s="18">
        <v>1</v>
      </c>
      <c r="AB5" s="18">
        <v>0</v>
      </c>
      <c r="AE5" s="18" t="str">
        <f>IFERROR($AE$4/Overview!$S$35,"N/A")</f>
        <v>N/A</v>
      </c>
    </row>
    <row r="6" spans="1:31" x14ac:dyDescent="0.2">
      <c r="A6" s="18">
        <f>IF(BOM!P14="",0,IF(BOM!T14&lt;=BOM!P14,IF(ISNUMBER(SEARCH("exact",BOM!W14))=TRUE,2,IF(OR(F6=1,J6=1,K6=1),1,3)),1))</f>
        <v>1</v>
      </c>
      <c r="B6" s="18">
        <f>IF(BOM!O14="",0,IF(ISNUMBER(SEARCH(BOM!O14,BOM!M14))=TRUE,1,0))</f>
        <v>1</v>
      </c>
      <c r="C6" s="18">
        <f>IF(BOM!Q14="",0,IF(ISNUMBER(SEARCH(BOM!Q14,BOM!M14))=TRUE,1,0))</f>
        <v>0</v>
      </c>
      <c r="D6" s="18">
        <f t="shared" si="0"/>
        <v>1</v>
      </c>
      <c r="E6" s="18">
        <f t="shared" si="1"/>
        <v>1</v>
      </c>
      <c r="F6" s="18">
        <f>IF(OR(BOM!$H14="true",BOM!$N14="FI",BOM!$N14="Free Issue"),1,0)</f>
        <v>0</v>
      </c>
      <c r="G6" s="18">
        <f>IF(OR(ISNUMBER(SEARCH("approved",BOM!W14)),ISNUMBER(SEARCH("ok to use",BOM!W14)))=TRUE,0,(IF(OR(ISNUMBER(SEARCH("alt",BOM!W14)),ISNUMBER(SEARCH("alternative",BOM!W14)))=TRUE,1,0)))</f>
        <v>0</v>
      </c>
      <c r="H6" s="18">
        <f>IF(OR(ISNUMBER(SEARCH("approved",BOM!W14)),ISNUMBER(SEARCH("ok to use",BOM!W14)))=TRUE,1,0)</f>
        <v>0</v>
      </c>
      <c r="I6" s="18">
        <f>IF(OR(ISNUMBER(SEARCH("long lead",BOM!W14)),ISNUMBER(SEARCH("longlead",BOM!W14)))=TRUE,1,0)</f>
        <v>0</v>
      </c>
      <c r="J6" s="18">
        <f>IF(OR(ISNUMBER(SEARCH("c",BOM!S14)),ISNUMBER(SEARCH("r",BOM!S14)),(BOM!N14="Stock"))=TRUE,1,0)</f>
        <v>0</v>
      </c>
      <c r="K6" s="18">
        <f>IF(OR(ISNUMBER(SEARCH("dnp",BOM!W14)),ISNUMBER(SEARCH("dnf",BOM!W14)),ISNUMBER(SEARCH("not fitted",BOM!W14)))=TRUE,1,0)</f>
        <v>0</v>
      </c>
      <c r="L6" s="18">
        <f>IF(AND(OR(BOM!$Q14="",BOM!$O14=""),BOM!$J14&gt;0),IF(OR($F6=1,$J6=1,$K6=1),0,1),0)</f>
        <v>0</v>
      </c>
      <c r="M6" s="18">
        <f>(BOM!$T14-BOM!$P14)*BOM!$U14</f>
        <v>1.1299999999999999</v>
      </c>
      <c r="P6" s="18">
        <v>1</v>
      </c>
      <c r="X6" s="18">
        <v>0</v>
      </c>
      <c r="Y6" s="18">
        <v>0</v>
      </c>
      <c r="AB6" s="18">
        <v>0</v>
      </c>
    </row>
    <row r="7" spans="1:31" x14ac:dyDescent="0.2">
      <c r="A7" s="18">
        <f>IF(BOM!P15="",0,IF(BOM!T15&lt;=BOM!P15,IF(ISNUMBER(SEARCH("exact",BOM!W15))=TRUE,2,IF(OR(F7=1,J7=1,K7=1),1,3)),1))</f>
        <v>1</v>
      </c>
      <c r="B7" s="18">
        <f>IF(BOM!O15="",0,IF(ISNUMBER(SEARCH(BOM!O15,BOM!M15))=TRUE,1,0))</f>
        <v>1</v>
      </c>
      <c r="C7" s="18">
        <f>IF(BOM!Q15="",0,IF(ISNUMBER(SEARCH(BOM!Q15,BOM!M15))=TRUE,1,0))</f>
        <v>1</v>
      </c>
      <c r="D7" s="18">
        <f t="shared" si="0"/>
        <v>1</v>
      </c>
      <c r="E7" s="18">
        <f t="shared" si="1"/>
        <v>1</v>
      </c>
      <c r="F7" s="18">
        <f>IF(OR(BOM!$H15="true",BOM!$N15="FI",BOM!$N15="Free Issue"),1,0)</f>
        <v>0</v>
      </c>
      <c r="G7" s="18">
        <f>IF(OR(ISNUMBER(SEARCH("approved",BOM!W15)),ISNUMBER(SEARCH("ok to use",BOM!W15)))=TRUE,0,(IF(OR(ISNUMBER(SEARCH("alt",BOM!W15)),ISNUMBER(SEARCH("alternative",BOM!W15)))=TRUE,1,0)))</f>
        <v>0</v>
      </c>
      <c r="H7" s="18">
        <f>IF(OR(ISNUMBER(SEARCH("approved",BOM!W15)),ISNUMBER(SEARCH("ok to use",BOM!W15)))=TRUE,1,0)</f>
        <v>0</v>
      </c>
      <c r="I7" s="18">
        <f>IF(OR(ISNUMBER(SEARCH("long lead",BOM!W15)),ISNUMBER(SEARCH("longlead",BOM!W15)))=TRUE,1,0)</f>
        <v>0</v>
      </c>
      <c r="J7" s="18">
        <f>IF(OR(ISNUMBER(SEARCH("c",BOM!S15)),ISNUMBER(SEARCH("r",BOM!S15)),(BOM!N15="Stock"))=TRUE,1,0)</f>
        <v>0</v>
      </c>
      <c r="K7" s="18">
        <f>IF(OR(ISNUMBER(SEARCH("dnp",BOM!W15)),ISNUMBER(SEARCH("dnf",BOM!W15)),ISNUMBER(SEARCH("not fitted",BOM!W15)))=TRUE,1,0)</f>
        <v>0</v>
      </c>
      <c r="L7" s="18">
        <f>IF(AND(OR(BOM!$Q15="",BOM!$O15=""),BOM!$J15&gt;0),IF(OR($F7=1,$J7=1,$K7=1),0,1),0)</f>
        <v>0</v>
      </c>
      <c r="M7" s="18">
        <f>(BOM!$T15-BOM!$P15)*BOM!$U15</f>
        <v>5.0939999999999994</v>
      </c>
      <c r="P7" s="18">
        <v>0</v>
      </c>
      <c r="X7" s="18">
        <v>0</v>
      </c>
      <c r="Y7" s="18">
        <v>0</v>
      </c>
      <c r="AB7" s="18">
        <v>0</v>
      </c>
    </row>
    <row r="8" spans="1:31" x14ac:dyDescent="0.2">
      <c r="A8" s="18">
        <f>IF(BOM!P16="",0,IF(BOM!T16&lt;=BOM!P16,IF(ISNUMBER(SEARCH("exact",BOM!W16))=TRUE,2,IF(OR(F8=1,J8=1,K8=1),1,3)),1))</f>
        <v>1</v>
      </c>
      <c r="B8" s="18">
        <f>IF(BOM!O16="",0,IF(ISNUMBER(SEARCH(BOM!O16,BOM!M16))=TRUE,1,0))</f>
        <v>1</v>
      </c>
      <c r="C8" s="18">
        <f>IF(BOM!Q16="",0,IF(ISNUMBER(SEARCH(BOM!Q16,BOM!M16))=TRUE,1,0))</f>
        <v>1</v>
      </c>
      <c r="D8" s="18">
        <f t="shared" si="0"/>
        <v>1</v>
      </c>
      <c r="E8" s="18">
        <f t="shared" si="1"/>
        <v>1</v>
      </c>
      <c r="F8" s="18">
        <f>IF(OR(BOM!$H16="true",BOM!$N16="FI",BOM!$N16="Free Issue"),1,0)</f>
        <v>0</v>
      </c>
      <c r="G8" s="18">
        <f>IF(OR(ISNUMBER(SEARCH("approved",BOM!W16)),ISNUMBER(SEARCH("ok to use",BOM!W16)))=TRUE,0,(IF(OR(ISNUMBER(SEARCH("alt",BOM!W16)),ISNUMBER(SEARCH("alternative",BOM!W16)))=TRUE,1,0)))</f>
        <v>0</v>
      </c>
      <c r="H8" s="18">
        <f>IF(OR(ISNUMBER(SEARCH("approved",BOM!W16)),ISNUMBER(SEARCH("ok to use",BOM!W16)))=TRUE,1,0)</f>
        <v>0</v>
      </c>
      <c r="I8" s="18">
        <f>IF(OR(ISNUMBER(SEARCH("long lead",BOM!W16)),ISNUMBER(SEARCH("longlead",BOM!W16)))=TRUE,1,0)</f>
        <v>0</v>
      </c>
      <c r="J8" s="18">
        <f>IF(OR(ISNUMBER(SEARCH("c",BOM!S16)),ISNUMBER(SEARCH("r",BOM!S16)),(BOM!N16="Stock"))=TRUE,1,0)</f>
        <v>0</v>
      </c>
      <c r="K8" s="18">
        <f>IF(OR(ISNUMBER(SEARCH("dnp",BOM!W16)),ISNUMBER(SEARCH("dnf",BOM!W16)),ISNUMBER(SEARCH("not fitted",BOM!W16)))=TRUE,1,0)</f>
        <v>0</v>
      </c>
      <c r="L8" s="18">
        <f>IF(AND(OR(BOM!$Q16="",BOM!$O16=""),BOM!$J16&gt;0),IF(OR($F8=1,$J8=1,$K8=1),0,1),0)</f>
        <v>0</v>
      </c>
      <c r="M8" s="18">
        <f>(BOM!$T16-BOM!$P16)*BOM!$U16</f>
        <v>0.49</v>
      </c>
      <c r="P8" s="18">
        <v>1</v>
      </c>
      <c r="X8" s="18">
        <v>0</v>
      </c>
      <c r="Y8" s="18">
        <v>0</v>
      </c>
    </row>
    <row r="9" spans="1:31" x14ac:dyDescent="0.2">
      <c r="A9" s="18">
        <f>IF(BOM!P17="",0,IF(BOM!T17&lt;=BOM!P17,IF(ISNUMBER(SEARCH("exact",BOM!W17))=TRUE,2,IF(OR(F9=1,J9=1,K9=1),1,3)),1))</f>
        <v>1</v>
      </c>
      <c r="B9" s="18">
        <f>IF(BOM!O17="",0,IF(ISNUMBER(SEARCH(BOM!O17,BOM!M17))=TRUE,1,0))</f>
        <v>1</v>
      </c>
      <c r="C9" s="18">
        <f>IF(BOM!Q17="",0,IF(ISNUMBER(SEARCH(BOM!Q17,BOM!M17))=TRUE,1,0))</f>
        <v>0</v>
      </c>
      <c r="D9" s="18">
        <f t="shared" si="0"/>
        <v>1</v>
      </c>
      <c r="E9" s="18">
        <f t="shared" si="1"/>
        <v>1</v>
      </c>
      <c r="F9" s="18">
        <f>IF(OR(BOM!$H17="true",BOM!$N17="FI",BOM!$N17="Free Issue"),1,0)</f>
        <v>0</v>
      </c>
      <c r="G9" s="18">
        <f>IF(OR(ISNUMBER(SEARCH("approved",BOM!W17)),ISNUMBER(SEARCH("ok to use",BOM!W17)))=TRUE,0,(IF(OR(ISNUMBER(SEARCH("alt",BOM!W17)),ISNUMBER(SEARCH("alternative",BOM!W17)))=TRUE,1,0)))</f>
        <v>0</v>
      </c>
      <c r="H9" s="18">
        <f>IF(OR(ISNUMBER(SEARCH("approved",BOM!W17)),ISNUMBER(SEARCH("ok to use",BOM!W17)))=TRUE,1,0)</f>
        <v>0</v>
      </c>
      <c r="I9" s="18">
        <f>IF(OR(ISNUMBER(SEARCH("long lead",BOM!W17)),ISNUMBER(SEARCH("longlead",BOM!W17)))=TRUE,1,0)</f>
        <v>0</v>
      </c>
      <c r="J9" s="18">
        <f>IF(OR(ISNUMBER(SEARCH("c",BOM!S17)),ISNUMBER(SEARCH("r",BOM!S17)),(BOM!N17="Stock"))=TRUE,1,0)</f>
        <v>0</v>
      </c>
      <c r="K9" s="18">
        <f>IF(OR(ISNUMBER(SEARCH("dnp",BOM!W17)),ISNUMBER(SEARCH("dnf",BOM!W17)),ISNUMBER(SEARCH("not fitted",BOM!W17)))=TRUE,1,0)</f>
        <v>0</v>
      </c>
      <c r="L9" s="18">
        <f>IF(AND(OR(BOM!$Q17="",BOM!$O17=""),BOM!$J17&gt;0),IF(OR($F9=1,$J9=1,$K9=1),0,1),0)</f>
        <v>0</v>
      </c>
      <c r="M9" s="18">
        <f>(BOM!$T17-BOM!$P17)*BOM!$U17</f>
        <v>0.68300000000000005</v>
      </c>
      <c r="P9" s="18">
        <v>0</v>
      </c>
      <c r="X9" s="18">
        <v>0</v>
      </c>
      <c r="Y9" s="18">
        <v>0</v>
      </c>
    </row>
    <row r="10" spans="1:31" x14ac:dyDescent="0.2">
      <c r="A10" s="18">
        <f>IF(BOM!P18="",0,IF(BOM!T18&lt;=BOM!P18,IF(ISNUMBER(SEARCH("exact",BOM!W18))=TRUE,2,IF(OR(F10=1,J10=1,K10=1),1,3)),1))</f>
        <v>2</v>
      </c>
      <c r="B10" s="18">
        <f>IF(BOM!O18="",0,IF(ISNUMBER(SEARCH(BOM!O18,BOM!M18))=TRUE,1,0))</f>
        <v>1</v>
      </c>
      <c r="C10" s="18">
        <f>IF(BOM!Q18="",0,IF(ISNUMBER(SEARCH(BOM!Q18,BOM!M18))=TRUE,1,0))</f>
        <v>1</v>
      </c>
      <c r="D10" s="18">
        <f t="shared" si="0"/>
        <v>1</v>
      </c>
      <c r="E10" s="18">
        <f t="shared" si="1"/>
        <v>1</v>
      </c>
      <c r="F10" s="18">
        <f>IF(OR(BOM!$H18="true",BOM!$N18="FI",BOM!$N18="Free Issue"),1,0)</f>
        <v>0</v>
      </c>
      <c r="G10" s="18">
        <f>IF(OR(ISNUMBER(SEARCH("approved",BOM!W18)),ISNUMBER(SEARCH("ok to use",BOM!W18)))=TRUE,0,(IF(OR(ISNUMBER(SEARCH("alt",BOM!W18)),ISNUMBER(SEARCH("alternative",BOM!W18)))=TRUE,1,0)))</f>
        <v>0</v>
      </c>
      <c r="H10" s="18">
        <f>IF(OR(ISNUMBER(SEARCH("approved",BOM!W18)),ISNUMBER(SEARCH("ok to use",BOM!W18)))=TRUE,1,0)</f>
        <v>0</v>
      </c>
      <c r="I10" s="18">
        <f>IF(OR(ISNUMBER(SEARCH("long lead",BOM!W18)),ISNUMBER(SEARCH("longlead",BOM!W18)))=TRUE,1,0)</f>
        <v>0</v>
      </c>
      <c r="J10" s="18">
        <f>IF(OR(ISNUMBER(SEARCH("c",BOM!S18)),ISNUMBER(SEARCH("r",BOM!S18)),(BOM!N18="Stock"))=TRUE,1,0)</f>
        <v>0</v>
      </c>
      <c r="K10" s="18">
        <f>IF(OR(ISNUMBER(SEARCH("dnp",BOM!W18)),ISNUMBER(SEARCH("dnf",BOM!W18)),ISNUMBER(SEARCH("not fitted",BOM!W18)))=TRUE,1,0)</f>
        <v>0</v>
      </c>
      <c r="L10" s="18">
        <f>IF(AND(OR(BOM!$Q18="",BOM!$O18=""),BOM!$J18&gt;0),IF(OR($F10=1,$J10=1,$K10=1),0,1),0)</f>
        <v>0</v>
      </c>
      <c r="M10" s="18">
        <f>(BOM!$T18-BOM!$P18)*BOM!$U18</f>
        <v>0</v>
      </c>
      <c r="P10" s="18">
        <f>IF(Purchasing!$K$15&gt;0,IF(Purchasing!$K$15="No Baskets",0,1),0)</f>
        <v>1</v>
      </c>
      <c r="X10" s="18">
        <v>0</v>
      </c>
      <c r="Y10" s="18">
        <v>0</v>
      </c>
    </row>
    <row r="11" spans="1:31" x14ac:dyDescent="0.2">
      <c r="A11" s="18">
        <f>IF(BOM!P19="",0,IF(BOM!T19&lt;=BOM!P19,IF(ISNUMBER(SEARCH("exact",BOM!W19))=TRUE,2,IF(OR(F11=1,J11=1,K11=1),1,3)),1))</f>
        <v>1</v>
      </c>
      <c r="B11" s="18">
        <f>IF(BOM!O19="",0,IF(ISNUMBER(SEARCH(BOM!O19,BOM!M19))=TRUE,1,0))</f>
        <v>1</v>
      </c>
      <c r="C11" s="18">
        <f>IF(BOM!Q19="",0,IF(ISNUMBER(SEARCH(BOM!Q19,BOM!M19))=TRUE,1,0))</f>
        <v>1</v>
      </c>
      <c r="D11" s="18">
        <f t="shared" si="0"/>
        <v>1</v>
      </c>
      <c r="E11" s="18">
        <f t="shared" si="1"/>
        <v>1</v>
      </c>
      <c r="F11" s="18">
        <f>IF(OR(BOM!$H19="true",BOM!$N19="FI",BOM!$N19="Free Issue"),1,0)</f>
        <v>0</v>
      </c>
      <c r="G11" s="18">
        <f>IF(OR(ISNUMBER(SEARCH("approved",BOM!W19)),ISNUMBER(SEARCH("ok to use",BOM!W19)))=TRUE,0,(IF(OR(ISNUMBER(SEARCH("alt",BOM!W19)),ISNUMBER(SEARCH("alternative",BOM!W19)))=TRUE,1,0)))</f>
        <v>0</v>
      </c>
      <c r="H11" s="18">
        <f>IF(OR(ISNUMBER(SEARCH("approved",BOM!W19)),ISNUMBER(SEARCH("ok to use",BOM!W19)))=TRUE,1,0)</f>
        <v>0</v>
      </c>
      <c r="I11" s="18">
        <f>IF(OR(ISNUMBER(SEARCH("long lead",BOM!W19)),ISNUMBER(SEARCH("longlead",BOM!W19)))=TRUE,1,0)</f>
        <v>0</v>
      </c>
      <c r="J11" s="18">
        <f>IF(OR(ISNUMBER(SEARCH("c",BOM!S19)),ISNUMBER(SEARCH("r",BOM!S19)),(BOM!N19="Stock"))=TRUE,1,0)</f>
        <v>0</v>
      </c>
      <c r="K11" s="18">
        <f>IF(OR(ISNUMBER(SEARCH("dnp",BOM!W19)),ISNUMBER(SEARCH("dnf",BOM!W19)),ISNUMBER(SEARCH("not fitted",BOM!W19)))=TRUE,1,0)</f>
        <v>0</v>
      </c>
      <c r="L11" s="18">
        <f>IF(AND(OR(BOM!$Q19="",BOM!$O19=""),BOM!$J19&gt;0),IF(OR($F11=1,$J11=1,$K11=1),0,1),0)</f>
        <v>0</v>
      </c>
      <c r="M11" s="18">
        <f>(BOM!$T19-BOM!$P19)*BOM!$U19</f>
        <v>8.4</v>
      </c>
      <c r="P11" s="18">
        <v>0</v>
      </c>
      <c r="X11" s="18">
        <v>0</v>
      </c>
      <c r="Y11" s="18">
        <v>0</v>
      </c>
    </row>
    <row r="12" spans="1:31" x14ac:dyDescent="0.2">
      <c r="A12" s="18">
        <f>IF(BOM!P20="",0,IF(BOM!T20&lt;=BOM!P20,IF(ISNUMBER(SEARCH("exact",BOM!W20))=TRUE,2,IF(OR(F12=1,J12=1,K12=1),1,3)),1))</f>
        <v>1</v>
      </c>
      <c r="B12" s="18">
        <f>IF(BOM!O20="",0,IF(ISNUMBER(SEARCH(BOM!O20,BOM!M20))=TRUE,1,0))</f>
        <v>1</v>
      </c>
      <c r="C12" s="18">
        <f>IF(BOM!Q20="",0,IF(ISNUMBER(SEARCH(BOM!Q20,BOM!M20))=TRUE,1,0))</f>
        <v>1</v>
      </c>
      <c r="D12" s="18">
        <f t="shared" si="0"/>
        <v>1</v>
      </c>
      <c r="E12" s="18">
        <f t="shared" si="1"/>
        <v>1</v>
      </c>
      <c r="F12" s="18">
        <f>IF(OR(BOM!$H20="true",BOM!$N20="FI",BOM!$N20="Free Issue"),1,0)</f>
        <v>0</v>
      </c>
      <c r="G12" s="18">
        <f>IF(OR(ISNUMBER(SEARCH("approved",BOM!W20)),ISNUMBER(SEARCH("ok to use",BOM!W20)))=TRUE,0,(IF(OR(ISNUMBER(SEARCH("alt",BOM!W20)),ISNUMBER(SEARCH("alternative",BOM!W20)))=TRUE,1,0)))</f>
        <v>0</v>
      </c>
      <c r="H12" s="18">
        <f>IF(OR(ISNUMBER(SEARCH("approved",BOM!W20)),ISNUMBER(SEARCH("ok to use",BOM!W20)))=TRUE,1,0)</f>
        <v>0</v>
      </c>
      <c r="I12" s="18">
        <f>IF(OR(ISNUMBER(SEARCH("long lead",BOM!W20)),ISNUMBER(SEARCH("longlead",BOM!W20)))=TRUE,1,0)</f>
        <v>0</v>
      </c>
      <c r="J12" s="18">
        <f>IF(OR(ISNUMBER(SEARCH("c",BOM!S20)),ISNUMBER(SEARCH("r",BOM!S20)),(BOM!N20="Stock"))=TRUE,1,0)</f>
        <v>0</v>
      </c>
      <c r="K12" s="18">
        <f>IF(OR(ISNUMBER(SEARCH("dnp",BOM!W20)),ISNUMBER(SEARCH("dnf",BOM!W20)),ISNUMBER(SEARCH("not fitted",BOM!W20)))=TRUE,1,0)</f>
        <v>0</v>
      </c>
      <c r="L12" s="18">
        <f>IF(AND(OR(BOM!$Q20="",BOM!$O20=""),BOM!$J20&gt;0),IF(OR($F12=1,$J12=1,$K12=1),0,1),0)</f>
        <v>0</v>
      </c>
      <c r="M12" s="18">
        <f>(BOM!$T20-BOM!$P20)*BOM!$U20</f>
        <v>8.4</v>
      </c>
      <c r="P12" s="18">
        <v>0</v>
      </c>
      <c r="X12" s="18">
        <v>0</v>
      </c>
      <c r="Y12" s="18">
        <v>0</v>
      </c>
    </row>
    <row r="13" spans="1:31" x14ac:dyDescent="0.2">
      <c r="A13" s="18">
        <f>IF(BOM!P21="",0,IF(BOM!T21&lt;=BOM!P21,IF(ISNUMBER(SEARCH("exact",BOM!W21))=TRUE,2,IF(OR(F13=1,J13=1,K13=1),1,3)),1))</f>
        <v>1</v>
      </c>
      <c r="B13" s="18">
        <f>IF(BOM!O21="",0,IF(ISNUMBER(SEARCH(BOM!O21,BOM!M21))=TRUE,1,0))</f>
        <v>1</v>
      </c>
      <c r="C13" s="18">
        <f>IF(BOM!Q21="",0,IF(ISNUMBER(SEARCH(BOM!Q21,BOM!M21))=TRUE,1,0))</f>
        <v>0</v>
      </c>
      <c r="D13" s="18">
        <f t="shared" si="0"/>
        <v>1</v>
      </c>
      <c r="E13" s="18">
        <f t="shared" si="1"/>
        <v>1</v>
      </c>
      <c r="F13" s="18">
        <f>IF(OR(BOM!$H21="true",BOM!$N21="FI",BOM!$N21="Free Issue"),1,0)</f>
        <v>0</v>
      </c>
      <c r="G13" s="18">
        <f>IF(OR(ISNUMBER(SEARCH("approved",BOM!W21)),ISNUMBER(SEARCH("ok to use",BOM!W21)))=TRUE,0,(IF(OR(ISNUMBER(SEARCH("alt",BOM!W21)),ISNUMBER(SEARCH("alternative",BOM!W21)))=TRUE,1,0)))</f>
        <v>0</v>
      </c>
      <c r="H13" s="18">
        <f>IF(OR(ISNUMBER(SEARCH("approved",BOM!W21)),ISNUMBER(SEARCH("ok to use",BOM!W21)))=TRUE,1,0)</f>
        <v>0</v>
      </c>
      <c r="I13" s="18">
        <f>IF(OR(ISNUMBER(SEARCH("long lead",BOM!W21)),ISNUMBER(SEARCH("longlead",BOM!W21)))=TRUE,1,0)</f>
        <v>0</v>
      </c>
      <c r="J13" s="18">
        <f>IF(OR(ISNUMBER(SEARCH("c",BOM!S21)),ISNUMBER(SEARCH("r",BOM!S21)),(BOM!N21="Stock"))=TRUE,1,0)</f>
        <v>0</v>
      </c>
      <c r="K13" s="18">
        <f>IF(OR(ISNUMBER(SEARCH("dnp",BOM!W21)),ISNUMBER(SEARCH("dnf",BOM!W21)),ISNUMBER(SEARCH("not fitted",BOM!W21)))=TRUE,1,0)</f>
        <v>0</v>
      </c>
      <c r="L13" s="18">
        <f>IF(AND(OR(BOM!$Q21="",BOM!$O21=""),BOM!$J21&gt;0),IF(OR($F13=1,$J13=1,$K13=1),0,1),0)</f>
        <v>0</v>
      </c>
      <c r="M13" s="18">
        <f>(BOM!$T21-BOM!$P21)*BOM!$U21</f>
        <v>3.21</v>
      </c>
      <c r="P13" s="18">
        <v>0</v>
      </c>
      <c r="X13" s="18">
        <v>0</v>
      </c>
      <c r="Y13" s="18">
        <v>0</v>
      </c>
    </row>
    <row r="14" spans="1:31" x14ac:dyDescent="0.2">
      <c r="A14" s="18">
        <f>IF(BOM!P22="",0,IF(BOM!T22&lt;=BOM!P22,IF(ISNUMBER(SEARCH("exact",BOM!W22))=TRUE,2,IF(OR(F14=1,J14=1,K14=1),1,3)),1))</f>
        <v>1</v>
      </c>
      <c r="B14" s="18">
        <f>IF(BOM!O22="",0,IF(ISNUMBER(SEARCH(BOM!O22,BOM!M22))=TRUE,1,0))</f>
        <v>1</v>
      </c>
      <c r="C14" s="18">
        <f>IF(BOM!Q22="",0,IF(ISNUMBER(SEARCH(BOM!Q22,BOM!M22))=TRUE,1,0))</f>
        <v>1</v>
      </c>
      <c r="D14" s="18">
        <f t="shared" si="0"/>
        <v>1</v>
      </c>
      <c r="E14" s="18">
        <f t="shared" si="1"/>
        <v>1</v>
      </c>
      <c r="F14" s="18">
        <f>IF(OR(BOM!$H22="true",BOM!$N22="FI",BOM!$N22="Free Issue"),1,0)</f>
        <v>0</v>
      </c>
      <c r="G14" s="18">
        <f>IF(OR(ISNUMBER(SEARCH("approved",BOM!W22)),ISNUMBER(SEARCH("ok to use",BOM!W22)))=TRUE,0,(IF(OR(ISNUMBER(SEARCH("alt",BOM!W22)),ISNUMBER(SEARCH("alternative",BOM!W22)))=TRUE,1,0)))</f>
        <v>0</v>
      </c>
      <c r="H14" s="18">
        <f>IF(OR(ISNUMBER(SEARCH("approved",BOM!W22)),ISNUMBER(SEARCH("ok to use",BOM!W22)))=TRUE,1,0)</f>
        <v>0</v>
      </c>
      <c r="I14" s="18">
        <f>IF(OR(ISNUMBER(SEARCH("long lead",BOM!W22)),ISNUMBER(SEARCH("longlead",BOM!W22)))=TRUE,1,0)</f>
        <v>0</v>
      </c>
      <c r="J14" s="18">
        <f>IF(OR(ISNUMBER(SEARCH("c",BOM!S22)),ISNUMBER(SEARCH("r",BOM!S22)),(BOM!N22="Stock"))=TRUE,1,0)</f>
        <v>0</v>
      </c>
      <c r="K14" s="18">
        <f>IF(OR(ISNUMBER(SEARCH("dnp",BOM!W22)),ISNUMBER(SEARCH("dnf",BOM!W22)),ISNUMBER(SEARCH("not fitted",BOM!W22)))=TRUE,1,0)</f>
        <v>0</v>
      </c>
      <c r="L14" s="18">
        <f>IF(AND(OR(BOM!$Q22="",BOM!$O22=""),BOM!$J22&gt;0),IF(OR($F14=1,$J14=1,$K14=1),0,1),0)</f>
        <v>0</v>
      </c>
      <c r="M14" s="18">
        <f>(BOM!$T22-BOM!$P22)*BOM!$U22</f>
        <v>0.18</v>
      </c>
      <c r="P14" s="18">
        <v>0</v>
      </c>
      <c r="X14" s="18">
        <v>0</v>
      </c>
      <c r="Y14" s="18">
        <v>0</v>
      </c>
    </row>
    <row r="15" spans="1:31" x14ac:dyDescent="0.2">
      <c r="A15" s="18">
        <f>IF(BOM!P23="",0,IF(BOM!T23&lt;=BOM!P23,IF(ISNUMBER(SEARCH("exact",BOM!W23))=TRUE,2,IF(OR(F15=1,J15=1,K15=1),1,3)),1))</f>
        <v>1</v>
      </c>
      <c r="B15" s="18">
        <f>IF(BOM!O23="",0,IF(ISNUMBER(SEARCH(BOM!O23,BOM!M23))=TRUE,1,0))</f>
        <v>1</v>
      </c>
      <c r="C15" s="18">
        <f>IF(BOM!Q23="",0,IF(ISNUMBER(SEARCH(BOM!Q23,BOM!M23))=TRUE,1,0))</f>
        <v>0</v>
      </c>
      <c r="D15" s="18">
        <f t="shared" si="0"/>
        <v>1</v>
      </c>
      <c r="E15" s="18">
        <f t="shared" si="1"/>
        <v>1</v>
      </c>
      <c r="F15" s="18">
        <f>IF(OR(BOM!$H23="true",BOM!$N23="FI",BOM!$N23="Free Issue"),1,0)</f>
        <v>0</v>
      </c>
      <c r="G15" s="18">
        <f>IF(OR(ISNUMBER(SEARCH("approved",BOM!W23)),ISNUMBER(SEARCH("ok to use",BOM!W23)))=TRUE,0,(IF(OR(ISNUMBER(SEARCH("alt",BOM!W23)),ISNUMBER(SEARCH("alternative",BOM!W23)))=TRUE,1,0)))</f>
        <v>0</v>
      </c>
      <c r="H15" s="18">
        <f>IF(OR(ISNUMBER(SEARCH("approved",BOM!W23)),ISNUMBER(SEARCH("ok to use",BOM!W23)))=TRUE,1,0)</f>
        <v>0</v>
      </c>
      <c r="I15" s="18">
        <f>IF(OR(ISNUMBER(SEARCH("long lead",BOM!W23)),ISNUMBER(SEARCH("longlead",BOM!W23)))=TRUE,1,0)</f>
        <v>0</v>
      </c>
      <c r="J15" s="18">
        <f>IF(OR(ISNUMBER(SEARCH("c",BOM!S23)),ISNUMBER(SEARCH("r",BOM!S23)),(BOM!N23="Stock"))=TRUE,1,0)</f>
        <v>0</v>
      </c>
      <c r="K15" s="18">
        <f>IF(OR(ISNUMBER(SEARCH("dnp",BOM!W23)),ISNUMBER(SEARCH("dnf",BOM!W23)),ISNUMBER(SEARCH("not fitted",BOM!W23)))=TRUE,1,0)</f>
        <v>0</v>
      </c>
      <c r="L15" s="18">
        <f>IF(AND(OR(BOM!$Q23="",BOM!$O23=""),BOM!$J23&gt;0),IF(OR($F15=1,$J15=1,$K15=1),0,1),0)</f>
        <v>0</v>
      </c>
      <c r="M15" s="18">
        <f>(BOM!$T23-BOM!$P23)*BOM!$U23</f>
        <v>8.1440000000000001</v>
      </c>
      <c r="X15" s="18">
        <v>0</v>
      </c>
      <c r="Y15" s="18">
        <v>0</v>
      </c>
    </row>
    <row r="16" spans="1:31" x14ac:dyDescent="0.2">
      <c r="A16" s="18">
        <f>IF(BOM!P24="",0,IF(BOM!T24&lt;=BOM!P24,IF(ISNUMBER(SEARCH("exact",BOM!W24))=TRUE,2,IF(OR(F16=1,J16=1,K16=1),1,3)),1))</f>
        <v>1</v>
      </c>
      <c r="B16" s="18">
        <f>IF(BOM!O24="",0,IF(ISNUMBER(SEARCH(BOM!O24,BOM!M24))=TRUE,1,0))</f>
        <v>1</v>
      </c>
      <c r="C16" s="18">
        <f>IF(BOM!Q24="",0,IF(ISNUMBER(SEARCH(BOM!Q24,BOM!M24))=TRUE,1,0))</f>
        <v>1</v>
      </c>
      <c r="D16" s="18">
        <f t="shared" si="0"/>
        <v>1</v>
      </c>
      <c r="E16" s="18">
        <f t="shared" si="1"/>
        <v>1</v>
      </c>
      <c r="F16" s="18">
        <f>IF(OR(BOM!$H24="true",BOM!$N24="FI",BOM!$N24="Free Issue"),1,0)</f>
        <v>0</v>
      </c>
      <c r="G16" s="18">
        <f>IF(OR(ISNUMBER(SEARCH("approved",BOM!W24)),ISNUMBER(SEARCH("ok to use",BOM!W24)))=TRUE,0,(IF(OR(ISNUMBER(SEARCH("alt",BOM!W24)),ISNUMBER(SEARCH("alternative",BOM!W24)))=TRUE,1,0)))</f>
        <v>0</v>
      </c>
      <c r="H16" s="18">
        <f>IF(OR(ISNUMBER(SEARCH("approved",BOM!W24)),ISNUMBER(SEARCH("ok to use",BOM!W24)))=TRUE,1,0)</f>
        <v>0</v>
      </c>
      <c r="I16" s="18">
        <f>IF(OR(ISNUMBER(SEARCH("long lead",BOM!W24)),ISNUMBER(SEARCH("longlead",BOM!W24)))=TRUE,1,0)</f>
        <v>0</v>
      </c>
      <c r="J16" s="18">
        <f>IF(OR(ISNUMBER(SEARCH("c",BOM!S24)),ISNUMBER(SEARCH("r",BOM!S24)),(BOM!N24="Stock"))=TRUE,1,0)</f>
        <v>0</v>
      </c>
      <c r="K16" s="18">
        <f>IF(OR(ISNUMBER(SEARCH("dnp",BOM!W24)),ISNUMBER(SEARCH("dnf",BOM!W24)),ISNUMBER(SEARCH("not fitted",BOM!W24)))=TRUE,1,0)</f>
        <v>0</v>
      </c>
      <c r="L16" s="18">
        <f>IF(AND(OR(BOM!$Q24="",BOM!$O24=""),BOM!$J24&gt;0),IF(OR($F16=1,$J16=1,$K16=1),0,1),0)</f>
        <v>0</v>
      </c>
      <c r="M16" s="18">
        <f>(BOM!$T24-BOM!$P24)*BOM!$U24</f>
        <v>0.4</v>
      </c>
      <c r="Y16" s="18">
        <v>0</v>
      </c>
    </row>
    <row r="17" spans="1:25" x14ac:dyDescent="0.2">
      <c r="A17" s="18">
        <f>IF(BOM!P25="",0,IF(BOM!T25&lt;=BOM!P25,IF(ISNUMBER(SEARCH("exact",BOM!W25))=TRUE,2,IF(OR(F17=1,J17=1,K17=1),1,3)),1))</f>
        <v>1</v>
      </c>
      <c r="B17" s="18">
        <f>IF(BOM!O25="",0,IF(ISNUMBER(SEARCH(BOM!O25,BOM!M25))=TRUE,1,0))</f>
        <v>0</v>
      </c>
      <c r="C17" s="18">
        <f>IF(BOM!Q25="",0,IF(ISNUMBER(SEARCH(BOM!Q25,BOM!M25))=TRUE,1,0))</f>
        <v>0</v>
      </c>
      <c r="D17" s="18">
        <f t="shared" si="0"/>
        <v>0</v>
      </c>
      <c r="E17" s="18">
        <f t="shared" si="1"/>
        <v>0</v>
      </c>
      <c r="F17" s="18">
        <f>IF(OR(BOM!$H25="true",BOM!$N25="FI",BOM!$N25="Free Issue"),1,0)</f>
        <v>0</v>
      </c>
      <c r="G17" s="18">
        <f>IF(OR(ISNUMBER(SEARCH("approved",BOM!W25)),ISNUMBER(SEARCH("ok to use",BOM!W25)))=TRUE,0,(IF(OR(ISNUMBER(SEARCH("alt",BOM!W25)),ISNUMBER(SEARCH("alternative",BOM!W25)))=TRUE,1,0)))</f>
        <v>0</v>
      </c>
      <c r="H17" s="18">
        <f>IF(OR(ISNUMBER(SEARCH("approved",BOM!W25)),ISNUMBER(SEARCH("ok to use",BOM!W25)))=TRUE,1,0)</f>
        <v>0</v>
      </c>
      <c r="I17" s="18">
        <f>IF(OR(ISNUMBER(SEARCH("long lead",BOM!W25)),ISNUMBER(SEARCH("longlead",BOM!W25)))=TRUE,1,0)</f>
        <v>0</v>
      </c>
      <c r="J17" s="18">
        <f>IF(OR(ISNUMBER(SEARCH("c",BOM!S25)),ISNUMBER(SEARCH("r",BOM!S25)),(BOM!N25="Stock"))=TRUE,1,0)</f>
        <v>0</v>
      </c>
      <c r="K17" s="18">
        <f>IF(OR(ISNUMBER(SEARCH("dnp",BOM!W25)),ISNUMBER(SEARCH("dnf",BOM!W25)),ISNUMBER(SEARCH("not fitted",BOM!W25)))=TRUE,1,0)</f>
        <v>0</v>
      </c>
      <c r="L17" s="18">
        <f>IF(AND(OR(BOM!$Q25="",BOM!$O25=""),BOM!$J25&gt;0),IF(OR($F17=1,$J17=1,$K17=1),0,1),0)</f>
        <v>0</v>
      </c>
      <c r="M17" s="18">
        <f>(BOM!$T25-BOM!$P25)*BOM!$U25</f>
        <v>1.8450000000000002</v>
      </c>
      <c r="Y17" s="18">
        <v>0</v>
      </c>
    </row>
    <row r="18" spans="1:25" x14ac:dyDescent="0.2">
      <c r="A18" s="18">
        <f>IF(BOM!P26="",0,IF(BOM!T26&lt;=BOM!P26,IF(ISNUMBER(SEARCH("exact",BOM!W26))=TRUE,2,IF(OR(F18=1,J18=1,K18=1),1,3)),1))</f>
        <v>1</v>
      </c>
      <c r="B18" s="18">
        <f>IF(BOM!O26="",0,IF(ISNUMBER(SEARCH(BOM!O26,BOM!M26))=TRUE,1,0))</f>
        <v>1</v>
      </c>
      <c r="C18" s="18">
        <f>IF(BOM!Q26="",0,IF(ISNUMBER(SEARCH(BOM!Q26,BOM!M26))=TRUE,1,0))</f>
        <v>0</v>
      </c>
      <c r="D18" s="18">
        <f t="shared" si="0"/>
        <v>1</v>
      </c>
      <c r="E18" s="18">
        <f t="shared" si="1"/>
        <v>1</v>
      </c>
      <c r="F18" s="18">
        <f>IF(OR(BOM!$H26="true",BOM!$N26="FI",BOM!$N26="Free Issue"),1,0)</f>
        <v>0</v>
      </c>
      <c r="G18" s="18">
        <f>IF(OR(ISNUMBER(SEARCH("approved",BOM!W26)),ISNUMBER(SEARCH("ok to use",BOM!W26)))=TRUE,0,(IF(OR(ISNUMBER(SEARCH("alt",BOM!W26)),ISNUMBER(SEARCH("alternative",BOM!W26)))=TRUE,1,0)))</f>
        <v>0</v>
      </c>
      <c r="H18" s="18">
        <f>IF(OR(ISNUMBER(SEARCH("approved",BOM!W26)),ISNUMBER(SEARCH("ok to use",BOM!W26)))=TRUE,1,0)</f>
        <v>0</v>
      </c>
      <c r="I18" s="18">
        <f>IF(OR(ISNUMBER(SEARCH("long lead",BOM!W26)),ISNUMBER(SEARCH("longlead",BOM!W26)))=TRUE,1,0)</f>
        <v>0</v>
      </c>
      <c r="J18" s="18">
        <f>IF(OR(ISNUMBER(SEARCH("c",BOM!S26)),ISNUMBER(SEARCH("r",BOM!S26)),(BOM!N26="Stock"))=TRUE,1,0)</f>
        <v>0</v>
      </c>
      <c r="K18" s="18">
        <f>IF(OR(ISNUMBER(SEARCH("dnp",BOM!W26)),ISNUMBER(SEARCH("dnf",BOM!W26)),ISNUMBER(SEARCH("not fitted",BOM!W26)))=TRUE,1,0)</f>
        <v>0</v>
      </c>
      <c r="L18" s="18">
        <f>IF(AND(OR(BOM!$Q26="",BOM!$O26=""),BOM!$J26&gt;0),IF(OR($F18=1,$J18=1,$K18=1),0,1),0)</f>
        <v>0</v>
      </c>
      <c r="M18" s="18">
        <f>(BOM!$T26-BOM!$P26)*BOM!$U26</f>
        <v>17.05</v>
      </c>
      <c r="Y18" s="18">
        <v>0</v>
      </c>
    </row>
    <row r="19" spans="1:25" x14ac:dyDescent="0.2">
      <c r="A19" s="18">
        <f>IF(BOM!P27="",0,IF(BOM!T27&lt;=BOM!P27,IF(ISNUMBER(SEARCH("exact",BOM!W27))=TRUE,2,IF(OR(F19=1,J19=1,K19=1),1,3)),1))</f>
        <v>1</v>
      </c>
      <c r="B19" s="18">
        <f>IF(BOM!O27="",0,IF(ISNUMBER(SEARCH(BOM!O27,BOM!M27))=TRUE,1,0))</f>
        <v>1</v>
      </c>
      <c r="C19" s="18">
        <f>IF(BOM!Q27="",0,IF(ISNUMBER(SEARCH(BOM!Q27,BOM!M27))=TRUE,1,0))</f>
        <v>1</v>
      </c>
      <c r="D19" s="18">
        <f t="shared" si="0"/>
        <v>1</v>
      </c>
      <c r="E19" s="18">
        <f t="shared" si="1"/>
        <v>1</v>
      </c>
      <c r="F19" s="18">
        <f>IF(OR(BOM!$H27="true",BOM!$N27="FI",BOM!$N27="Free Issue"),1,0)</f>
        <v>0</v>
      </c>
      <c r="G19" s="18">
        <f>IF(OR(ISNUMBER(SEARCH("approved",BOM!W27)),ISNUMBER(SEARCH("ok to use",BOM!W27)))=TRUE,0,(IF(OR(ISNUMBER(SEARCH("alt",BOM!W27)),ISNUMBER(SEARCH("alternative",BOM!W27)))=TRUE,1,0)))</f>
        <v>0</v>
      </c>
      <c r="H19" s="18">
        <f>IF(OR(ISNUMBER(SEARCH("approved",BOM!W27)),ISNUMBER(SEARCH("ok to use",BOM!W27)))=TRUE,1,0)</f>
        <v>0</v>
      </c>
      <c r="I19" s="18">
        <f>IF(OR(ISNUMBER(SEARCH("long lead",BOM!W27)),ISNUMBER(SEARCH("longlead",BOM!W27)))=TRUE,1,0)</f>
        <v>0</v>
      </c>
      <c r="J19" s="18">
        <f>IF(OR(ISNUMBER(SEARCH("c",BOM!S27)),ISNUMBER(SEARCH("r",BOM!S27)),(BOM!N27="Stock"))=TRUE,1,0)</f>
        <v>0</v>
      </c>
      <c r="K19" s="18">
        <f>IF(OR(ISNUMBER(SEARCH("dnp",BOM!W27)),ISNUMBER(SEARCH("dnf",BOM!W27)),ISNUMBER(SEARCH("not fitted",BOM!W27)))=TRUE,1,0)</f>
        <v>0</v>
      </c>
      <c r="L19" s="18">
        <f>IF(AND(OR(BOM!$Q27="",BOM!$O27=""),BOM!$J27&gt;0),IF(OR($F19=1,$J19=1,$K19=1),0,1),0)</f>
        <v>0</v>
      </c>
      <c r="M19" s="18">
        <f>(BOM!$T27-BOM!$P27)*BOM!$U27</f>
        <v>3.8</v>
      </c>
      <c r="Y19" s="18">
        <v>0</v>
      </c>
    </row>
    <row r="20" spans="1:25" x14ac:dyDescent="0.2">
      <c r="A20" s="18">
        <f>IF(BOM!P28="",0,IF(BOM!T28&lt;=BOM!P28,IF(ISNUMBER(SEARCH("exact",BOM!W28))=TRUE,2,IF(OR(F20=1,J20=1,K20=1),1,3)),1))</f>
        <v>2</v>
      </c>
      <c r="B20" s="18">
        <f>IF(BOM!O28="",0,IF(ISNUMBER(SEARCH(BOM!O28,BOM!M28))=TRUE,1,0))</f>
        <v>1</v>
      </c>
      <c r="C20" s="18">
        <f>IF(BOM!Q28="",0,IF(ISNUMBER(SEARCH(BOM!Q28,BOM!M28))=TRUE,1,0))</f>
        <v>1</v>
      </c>
      <c r="D20" s="18">
        <f t="shared" si="0"/>
        <v>1</v>
      </c>
      <c r="E20" s="18">
        <f t="shared" si="1"/>
        <v>1</v>
      </c>
      <c r="F20" s="18">
        <f>IF(OR(BOM!$H28="true",BOM!$N28="FI",BOM!$N28="Free Issue"),1,0)</f>
        <v>0</v>
      </c>
      <c r="G20" s="18">
        <f>IF(OR(ISNUMBER(SEARCH("approved",BOM!W28)),ISNUMBER(SEARCH("ok to use",BOM!W28)))=TRUE,0,(IF(OR(ISNUMBER(SEARCH("alt",BOM!W28)),ISNUMBER(SEARCH("alternative",BOM!W28)))=TRUE,1,0)))</f>
        <v>0</v>
      </c>
      <c r="H20" s="18">
        <f>IF(OR(ISNUMBER(SEARCH("approved",BOM!W28)),ISNUMBER(SEARCH("ok to use",BOM!W28)))=TRUE,1,0)</f>
        <v>0</v>
      </c>
      <c r="I20" s="18">
        <f>IF(OR(ISNUMBER(SEARCH("long lead",BOM!W28)),ISNUMBER(SEARCH("longlead",BOM!W28)))=TRUE,1,0)</f>
        <v>0</v>
      </c>
      <c r="J20" s="18">
        <f>IF(OR(ISNUMBER(SEARCH("c",BOM!S28)),ISNUMBER(SEARCH("r",BOM!S28)),(BOM!N28="Stock"))=TRUE,1,0)</f>
        <v>0</v>
      </c>
      <c r="K20" s="18">
        <f>IF(OR(ISNUMBER(SEARCH("dnp",BOM!W28)),ISNUMBER(SEARCH("dnf",BOM!W28)),ISNUMBER(SEARCH("not fitted",BOM!W28)))=TRUE,1,0)</f>
        <v>0</v>
      </c>
      <c r="L20" s="18">
        <f>IF(AND(OR(BOM!$Q28="",BOM!$O28=""),BOM!$J28&gt;0),IF(OR($F20=1,$J20=1,$K20=1),0,1),0)</f>
        <v>0</v>
      </c>
      <c r="M20" s="18">
        <f>(BOM!$T28-BOM!$P28)*BOM!$U28</f>
        <v>0</v>
      </c>
      <c r="Y20" s="18">
        <v>0</v>
      </c>
    </row>
    <row r="21" spans="1:25" x14ac:dyDescent="0.2">
      <c r="Y21" s="18">
        <v>0</v>
      </c>
    </row>
    <row r="22" spans="1:25" x14ac:dyDescent="0.2">
      <c r="Y22" s="18">
        <v>0</v>
      </c>
    </row>
    <row r="23" spans="1:25" x14ac:dyDescent="0.2">
      <c r="Y23" s="18">
        <v>0</v>
      </c>
    </row>
    <row r="24" spans="1:25" x14ac:dyDescent="0.2">
      <c r="Y24" s="18">
        <v>0</v>
      </c>
    </row>
    <row r="25" spans="1:25" x14ac:dyDescent="0.2">
      <c r="Y25" s="18">
        <v>0</v>
      </c>
    </row>
    <row r="26" spans="1:25" x14ac:dyDescent="0.2">
      <c r="Y26" s="18">
        <v>0</v>
      </c>
    </row>
    <row r="27" spans="1:25" x14ac:dyDescent="0.2">
      <c r="Y27" s="18">
        <v>0</v>
      </c>
    </row>
    <row r="28" spans="1:25" x14ac:dyDescent="0.2">
      <c r="Y28" s="18">
        <v>0</v>
      </c>
    </row>
    <row r="29" spans="1:25" x14ac:dyDescent="0.2">
      <c r="Y29" s="18">
        <v>0</v>
      </c>
    </row>
    <row r="30" spans="1:25" x14ac:dyDescent="0.2">
      <c r="Y30" s="18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E619B-0F37-4EE4-B577-F102EB8353E3}">
  <sheetPr>
    <tabColor rgb="FFFFFF00"/>
  </sheetPr>
  <dimension ref="A1:V21"/>
  <sheetViews>
    <sheetView workbookViewId="0"/>
  </sheetViews>
  <sheetFormatPr defaultRowHeight="12.75" x14ac:dyDescent="0.2"/>
  <sheetData>
    <row r="1" spans="1:22" x14ac:dyDescent="0.2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217</v>
      </c>
      <c r="K1" t="s">
        <v>25</v>
      </c>
      <c r="L1" t="s">
        <v>26</v>
      </c>
      <c r="M1" t="s">
        <v>27</v>
      </c>
      <c r="N1" t="s">
        <v>218</v>
      </c>
      <c r="O1" t="s">
        <v>28</v>
      </c>
      <c r="P1" t="s">
        <v>219</v>
      </c>
      <c r="Q1" t="s">
        <v>29</v>
      </c>
      <c r="R1" t="s">
        <v>30</v>
      </c>
      <c r="S1" t="s">
        <v>31</v>
      </c>
      <c r="T1" t="s">
        <v>220</v>
      </c>
      <c r="U1" t="s">
        <v>221</v>
      </c>
      <c r="V1" t="s">
        <v>222</v>
      </c>
    </row>
    <row r="2" spans="1:22" x14ac:dyDescent="0.2">
      <c r="C2" t="s">
        <v>272</v>
      </c>
      <c r="D2" t="s">
        <v>273</v>
      </c>
      <c r="F2" t="s">
        <v>362</v>
      </c>
      <c r="I2" t="s">
        <v>362</v>
      </c>
      <c r="J2">
        <v>1</v>
      </c>
      <c r="L2" t="s">
        <v>362</v>
      </c>
    </row>
    <row r="3" spans="1:22" x14ac:dyDescent="0.2">
      <c r="A3" t="s">
        <v>34</v>
      </c>
      <c r="B3" t="s">
        <v>270</v>
      </c>
      <c r="C3" t="s">
        <v>271</v>
      </c>
      <c r="D3" t="s">
        <v>34</v>
      </c>
      <c r="E3" t="s">
        <v>34</v>
      </c>
      <c r="F3" t="s">
        <v>362</v>
      </c>
      <c r="G3">
        <v>1</v>
      </c>
      <c r="H3" t="s">
        <v>35</v>
      </c>
      <c r="I3" t="s">
        <v>36</v>
      </c>
      <c r="J3">
        <v>4</v>
      </c>
      <c r="K3" t="s">
        <v>37</v>
      </c>
      <c r="L3" t="s">
        <v>38</v>
      </c>
      <c r="M3" t="s">
        <v>39</v>
      </c>
      <c r="N3" t="s">
        <v>274</v>
      </c>
      <c r="O3" t="s">
        <v>40</v>
      </c>
      <c r="P3">
        <v>80</v>
      </c>
      <c r="Q3" t="s">
        <v>41</v>
      </c>
      <c r="R3" t="s">
        <v>34</v>
      </c>
      <c r="S3" t="s">
        <v>34</v>
      </c>
      <c r="T3">
        <v>110</v>
      </c>
      <c r="U3">
        <v>0.14399999999999999</v>
      </c>
      <c r="V3">
        <v>15.839999999999998</v>
      </c>
    </row>
    <row r="4" spans="1:22" x14ac:dyDescent="0.2">
      <c r="A4" t="s">
        <v>34</v>
      </c>
      <c r="B4" t="s">
        <v>270</v>
      </c>
      <c r="C4" t="s">
        <v>271</v>
      </c>
      <c r="D4" t="s">
        <v>34</v>
      </c>
      <c r="E4" t="s">
        <v>34</v>
      </c>
      <c r="F4" t="s">
        <v>362</v>
      </c>
      <c r="G4">
        <v>2</v>
      </c>
      <c r="H4" t="s">
        <v>35</v>
      </c>
      <c r="I4" t="s">
        <v>42</v>
      </c>
      <c r="J4">
        <v>2</v>
      </c>
      <c r="K4" t="s">
        <v>43</v>
      </c>
      <c r="L4" t="s">
        <v>44</v>
      </c>
      <c r="M4" t="s">
        <v>45</v>
      </c>
      <c r="N4" t="s">
        <v>274</v>
      </c>
      <c r="O4" t="s">
        <v>46</v>
      </c>
      <c r="P4">
        <v>40</v>
      </c>
      <c r="Q4" t="s">
        <v>47</v>
      </c>
      <c r="R4" t="s">
        <v>34</v>
      </c>
      <c r="S4" t="s">
        <v>34</v>
      </c>
      <c r="T4">
        <v>90</v>
      </c>
      <c r="U4">
        <v>4.8999999999999998E-3</v>
      </c>
      <c r="V4">
        <v>0.441</v>
      </c>
    </row>
    <row r="5" spans="1:22" x14ac:dyDescent="0.2">
      <c r="A5" t="s">
        <v>34</v>
      </c>
      <c r="B5" t="s">
        <v>270</v>
      </c>
      <c r="C5" t="s">
        <v>271</v>
      </c>
      <c r="D5" t="s">
        <v>34</v>
      </c>
      <c r="E5" t="s">
        <v>34</v>
      </c>
      <c r="F5" t="s">
        <v>362</v>
      </c>
      <c r="G5">
        <v>3</v>
      </c>
      <c r="H5" t="s">
        <v>35</v>
      </c>
      <c r="I5" t="s">
        <v>48</v>
      </c>
      <c r="J5">
        <v>1</v>
      </c>
      <c r="K5" t="s">
        <v>49</v>
      </c>
      <c r="L5" t="s">
        <v>50</v>
      </c>
      <c r="M5" t="s">
        <v>51</v>
      </c>
      <c r="N5" t="s">
        <v>274</v>
      </c>
      <c r="O5" t="s">
        <v>52</v>
      </c>
      <c r="P5">
        <v>20</v>
      </c>
      <c r="Q5" t="s">
        <v>53</v>
      </c>
      <c r="R5" t="s">
        <v>34</v>
      </c>
      <c r="S5" t="s">
        <v>34</v>
      </c>
      <c r="T5">
        <v>70</v>
      </c>
      <c r="U5">
        <v>2.5600000000000001E-2</v>
      </c>
      <c r="V5">
        <v>1.792</v>
      </c>
    </row>
    <row r="6" spans="1:22" x14ac:dyDescent="0.2">
      <c r="A6" t="s">
        <v>34</v>
      </c>
      <c r="B6" t="s">
        <v>270</v>
      </c>
      <c r="C6" t="s">
        <v>271</v>
      </c>
      <c r="D6" t="s">
        <v>34</v>
      </c>
      <c r="E6" t="s">
        <v>34</v>
      </c>
      <c r="F6" t="s">
        <v>362</v>
      </c>
      <c r="G6">
        <v>4</v>
      </c>
      <c r="H6" t="s">
        <v>35</v>
      </c>
      <c r="I6" t="s">
        <v>54</v>
      </c>
      <c r="J6">
        <v>2</v>
      </c>
      <c r="K6" t="s">
        <v>55</v>
      </c>
      <c r="L6" t="s">
        <v>56</v>
      </c>
      <c r="M6" t="s">
        <v>57</v>
      </c>
      <c r="N6" t="s">
        <v>274</v>
      </c>
      <c r="O6" t="s">
        <v>58</v>
      </c>
      <c r="P6">
        <v>40</v>
      </c>
      <c r="Q6" t="s">
        <v>59</v>
      </c>
      <c r="R6" t="s">
        <v>34</v>
      </c>
      <c r="S6" t="s">
        <v>34</v>
      </c>
      <c r="T6">
        <v>90</v>
      </c>
      <c r="U6">
        <v>9.7999999999999997E-3</v>
      </c>
      <c r="V6">
        <v>0.88200000000000001</v>
      </c>
    </row>
    <row r="7" spans="1:22" x14ac:dyDescent="0.2">
      <c r="A7" t="s">
        <v>34</v>
      </c>
      <c r="B7" t="s">
        <v>270</v>
      </c>
      <c r="C7" t="s">
        <v>271</v>
      </c>
      <c r="D7" t="s">
        <v>34</v>
      </c>
      <c r="E7" t="s">
        <v>34</v>
      </c>
      <c r="F7" t="s">
        <v>362</v>
      </c>
      <c r="G7">
        <v>5</v>
      </c>
      <c r="H7" t="s">
        <v>35</v>
      </c>
      <c r="I7" t="s">
        <v>60</v>
      </c>
      <c r="J7">
        <v>1</v>
      </c>
      <c r="K7" t="s">
        <v>61</v>
      </c>
      <c r="L7" t="s">
        <v>62</v>
      </c>
      <c r="M7" t="s">
        <v>63</v>
      </c>
      <c r="N7" t="s">
        <v>274</v>
      </c>
      <c r="O7" t="s">
        <v>64</v>
      </c>
      <c r="P7">
        <v>20</v>
      </c>
      <c r="Q7" t="s">
        <v>65</v>
      </c>
      <c r="R7" t="s">
        <v>34</v>
      </c>
      <c r="S7" t="s">
        <v>34</v>
      </c>
      <c r="T7">
        <v>70</v>
      </c>
      <c r="U7">
        <v>2.2599999999999999E-2</v>
      </c>
      <c r="V7">
        <v>1.5819999999999999</v>
      </c>
    </row>
    <row r="8" spans="1:22" x14ac:dyDescent="0.2">
      <c r="A8" t="s">
        <v>34</v>
      </c>
      <c r="B8" t="s">
        <v>270</v>
      </c>
      <c r="C8" t="s">
        <v>271</v>
      </c>
      <c r="D8" t="s">
        <v>34</v>
      </c>
      <c r="E8" t="s">
        <v>34</v>
      </c>
      <c r="F8" t="s">
        <v>362</v>
      </c>
      <c r="G8">
        <v>6</v>
      </c>
      <c r="H8" t="s">
        <v>35</v>
      </c>
      <c r="I8" t="s">
        <v>66</v>
      </c>
      <c r="J8">
        <v>6</v>
      </c>
      <c r="K8" t="s">
        <v>67</v>
      </c>
      <c r="L8" t="s">
        <v>68</v>
      </c>
      <c r="M8" t="s">
        <v>69</v>
      </c>
      <c r="N8" t="s">
        <v>275</v>
      </c>
      <c r="O8" t="s">
        <v>71</v>
      </c>
      <c r="P8">
        <v>120</v>
      </c>
      <c r="Q8" t="s">
        <v>72</v>
      </c>
      <c r="R8" t="s">
        <v>34</v>
      </c>
      <c r="S8" t="s">
        <v>34</v>
      </c>
      <c r="T8">
        <v>140</v>
      </c>
      <c r="U8">
        <v>0.25469999999999998</v>
      </c>
      <c r="V8">
        <v>35.657999999999994</v>
      </c>
    </row>
    <row r="9" spans="1:22" x14ac:dyDescent="0.2">
      <c r="A9" t="s">
        <v>34</v>
      </c>
      <c r="B9" t="s">
        <v>270</v>
      </c>
      <c r="C9" t="s">
        <v>271</v>
      </c>
      <c r="D9" t="s">
        <v>34</v>
      </c>
      <c r="E9" t="s">
        <v>34</v>
      </c>
      <c r="F9" t="s">
        <v>362</v>
      </c>
      <c r="G9">
        <v>7</v>
      </c>
      <c r="H9" t="s">
        <v>35</v>
      </c>
      <c r="I9" t="s">
        <v>73</v>
      </c>
      <c r="J9">
        <v>2</v>
      </c>
      <c r="K9" t="s">
        <v>74</v>
      </c>
      <c r="L9" t="s">
        <v>75</v>
      </c>
      <c r="M9" t="s">
        <v>76</v>
      </c>
      <c r="N9" t="s">
        <v>274</v>
      </c>
      <c r="O9" t="s">
        <v>77</v>
      </c>
      <c r="P9">
        <v>40</v>
      </c>
      <c r="Q9" t="s">
        <v>78</v>
      </c>
      <c r="R9" t="s">
        <v>34</v>
      </c>
      <c r="S9" t="s">
        <v>34</v>
      </c>
      <c r="T9">
        <v>90</v>
      </c>
      <c r="U9">
        <v>9.7999999999999997E-3</v>
      </c>
      <c r="V9">
        <v>0.88200000000000001</v>
      </c>
    </row>
    <row r="10" spans="1:22" x14ac:dyDescent="0.2">
      <c r="A10" t="s">
        <v>34</v>
      </c>
      <c r="B10" t="s">
        <v>270</v>
      </c>
      <c r="C10" t="s">
        <v>271</v>
      </c>
      <c r="D10" t="s">
        <v>34</v>
      </c>
      <c r="E10" t="s">
        <v>34</v>
      </c>
      <c r="F10" t="s">
        <v>362</v>
      </c>
      <c r="G10">
        <v>8</v>
      </c>
      <c r="H10" t="s">
        <v>35</v>
      </c>
      <c r="I10" t="s">
        <v>79</v>
      </c>
      <c r="J10">
        <v>1</v>
      </c>
      <c r="K10" t="s">
        <v>80</v>
      </c>
      <c r="L10" t="s">
        <v>81</v>
      </c>
      <c r="M10" t="s">
        <v>82</v>
      </c>
      <c r="N10" t="s">
        <v>274</v>
      </c>
      <c r="O10" t="s">
        <v>83</v>
      </c>
      <c r="P10">
        <v>20</v>
      </c>
      <c r="Q10" t="s">
        <v>84</v>
      </c>
      <c r="R10" t="s">
        <v>34</v>
      </c>
      <c r="S10" t="s">
        <v>34</v>
      </c>
      <c r="T10">
        <v>30</v>
      </c>
      <c r="U10">
        <v>6.83E-2</v>
      </c>
      <c r="V10">
        <v>2.0489999999999999</v>
      </c>
    </row>
    <row r="11" spans="1:22" x14ac:dyDescent="0.2">
      <c r="A11" t="s">
        <v>34</v>
      </c>
      <c r="B11" t="s">
        <v>270</v>
      </c>
      <c r="C11" t="s">
        <v>271</v>
      </c>
      <c r="D11" t="s">
        <v>34</v>
      </c>
      <c r="E11" t="s">
        <v>34</v>
      </c>
      <c r="F11" t="s">
        <v>362</v>
      </c>
      <c r="G11">
        <v>9</v>
      </c>
      <c r="H11" t="s">
        <v>35</v>
      </c>
      <c r="I11" t="s">
        <v>85</v>
      </c>
      <c r="J11">
        <v>1</v>
      </c>
      <c r="K11" t="s">
        <v>86</v>
      </c>
      <c r="L11" t="s">
        <v>87</v>
      </c>
      <c r="M11" t="s">
        <v>88</v>
      </c>
      <c r="N11" t="s">
        <v>330</v>
      </c>
      <c r="O11" t="s">
        <v>331</v>
      </c>
      <c r="P11">
        <v>20</v>
      </c>
      <c r="Q11" t="s">
        <v>331</v>
      </c>
      <c r="R11" t="s">
        <v>34</v>
      </c>
      <c r="S11" t="s">
        <v>34</v>
      </c>
      <c r="T11">
        <v>20</v>
      </c>
      <c r="U11">
        <v>66.39</v>
      </c>
      <c r="V11">
        <v>1327.8</v>
      </c>
    </row>
    <row r="12" spans="1:22" x14ac:dyDescent="0.2">
      <c r="A12" t="s">
        <v>34</v>
      </c>
      <c r="B12" t="s">
        <v>270</v>
      </c>
      <c r="C12" t="s">
        <v>271</v>
      </c>
      <c r="D12" t="s">
        <v>34</v>
      </c>
      <c r="E12" t="s">
        <v>34</v>
      </c>
      <c r="F12" t="s">
        <v>362</v>
      </c>
      <c r="G12">
        <v>10</v>
      </c>
      <c r="H12" t="s">
        <v>35</v>
      </c>
      <c r="I12" t="s">
        <v>89</v>
      </c>
      <c r="J12">
        <v>1</v>
      </c>
      <c r="K12" t="s">
        <v>90</v>
      </c>
      <c r="L12" t="s">
        <v>91</v>
      </c>
      <c r="M12" t="s">
        <v>92</v>
      </c>
      <c r="N12" t="s">
        <v>311</v>
      </c>
      <c r="O12" t="s">
        <v>312</v>
      </c>
      <c r="P12">
        <v>20</v>
      </c>
      <c r="Q12" t="s">
        <v>312</v>
      </c>
      <c r="R12" t="s">
        <v>34</v>
      </c>
      <c r="S12" t="s">
        <v>34</v>
      </c>
      <c r="T12">
        <v>25</v>
      </c>
      <c r="U12">
        <v>1.68</v>
      </c>
      <c r="V12">
        <v>42</v>
      </c>
    </row>
    <row r="13" spans="1:22" x14ac:dyDescent="0.2">
      <c r="A13" t="s">
        <v>34</v>
      </c>
      <c r="B13" t="s">
        <v>270</v>
      </c>
      <c r="C13" t="s">
        <v>271</v>
      </c>
      <c r="D13" t="s">
        <v>34</v>
      </c>
      <c r="E13" t="s">
        <v>34</v>
      </c>
      <c r="F13" t="s">
        <v>362</v>
      </c>
      <c r="G13">
        <v>11</v>
      </c>
      <c r="H13" t="s">
        <v>35</v>
      </c>
      <c r="I13" t="s">
        <v>93</v>
      </c>
      <c r="J13">
        <v>1</v>
      </c>
      <c r="K13" t="s">
        <v>94</v>
      </c>
      <c r="L13" t="s">
        <v>95</v>
      </c>
      <c r="M13" t="s">
        <v>96</v>
      </c>
      <c r="N13" t="s">
        <v>311</v>
      </c>
      <c r="O13" t="s">
        <v>310</v>
      </c>
      <c r="P13">
        <v>20</v>
      </c>
      <c r="Q13" t="s">
        <v>310</v>
      </c>
      <c r="R13" t="s">
        <v>34</v>
      </c>
      <c r="S13" t="s">
        <v>34</v>
      </c>
      <c r="T13">
        <v>25</v>
      </c>
      <c r="U13">
        <v>1.68</v>
      </c>
      <c r="V13">
        <v>42</v>
      </c>
    </row>
    <row r="14" spans="1:22" x14ac:dyDescent="0.2">
      <c r="A14" t="s">
        <v>34</v>
      </c>
      <c r="B14" t="s">
        <v>270</v>
      </c>
      <c r="C14" t="s">
        <v>271</v>
      </c>
      <c r="D14" t="s">
        <v>34</v>
      </c>
      <c r="E14" t="s">
        <v>34</v>
      </c>
      <c r="F14" t="s">
        <v>362</v>
      </c>
      <c r="G14">
        <v>12</v>
      </c>
      <c r="H14" t="s">
        <v>35</v>
      </c>
      <c r="I14" t="s">
        <v>97</v>
      </c>
      <c r="J14">
        <v>1</v>
      </c>
      <c r="K14" t="s">
        <v>98</v>
      </c>
      <c r="L14" t="s">
        <v>99</v>
      </c>
      <c r="M14" t="s">
        <v>100</v>
      </c>
      <c r="N14" t="s">
        <v>274</v>
      </c>
      <c r="O14" t="s">
        <v>101</v>
      </c>
      <c r="P14">
        <v>20</v>
      </c>
      <c r="Q14" t="s">
        <v>102</v>
      </c>
      <c r="R14" t="s">
        <v>34</v>
      </c>
      <c r="S14" t="s">
        <v>34</v>
      </c>
      <c r="T14">
        <v>30</v>
      </c>
      <c r="U14">
        <v>0.32100000000000001</v>
      </c>
      <c r="V14">
        <v>9.6300000000000008</v>
      </c>
    </row>
    <row r="15" spans="1:22" x14ac:dyDescent="0.2">
      <c r="A15" t="s">
        <v>34</v>
      </c>
      <c r="B15" t="s">
        <v>270</v>
      </c>
      <c r="C15" t="s">
        <v>271</v>
      </c>
      <c r="D15" t="s">
        <v>34</v>
      </c>
      <c r="E15" t="s">
        <v>34</v>
      </c>
      <c r="F15" t="s">
        <v>362</v>
      </c>
      <c r="G15">
        <v>13</v>
      </c>
      <c r="H15" t="s">
        <v>35</v>
      </c>
      <c r="I15" t="s">
        <v>103</v>
      </c>
      <c r="J15">
        <v>3</v>
      </c>
      <c r="K15" t="s">
        <v>104</v>
      </c>
      <c r="L15" t="s">
        <v>105</v>
      </c>
      <c r="M15" t="s">
        <v>106</v>
      </c>
      <c r="N15" t="s">
        <v>274</v>
      </c>
      <c r="O15" t="s">
        <v>107</v>
      </c>
      <c r="P15">
        <v>60</v>
      </c>
      <c r="Q15" t="s">
        <v>108</v>
      </c>
      <c r="R15" t="s">
        <v>34</v>
      </c>
      <c r="S15" t="s">
        <v>34</v>
      </c>
      <c r="T15">
        <v>110</v>
      </c>
      <c r="U15">
        <v>3.5999999999999999E-3</v>
      </c>
      <c r="V15">
        <v>0.39599999999999996</v>
      </c>
    </row>
    <row r="16" spans="1:22" x14ac:dyDescent="0.2">
      <c r="A16" t="s">
        <v>34</v>
      </c>
      <c r="B16" t="s">
        <v>270</v>
      </c>
      <c r="C16" t="s">
        <v>271</v>
      </c>
      <c r="D16" t="s">
        <v>34</v>
      </c>
      <c r="E16" t="s">
        <v>34</v>
      </c>
      <c r="F16" t="s">
        <v>362</v>
      </c>
      <c r="G16">
        <v>14</v>
      </c>
      <c r="H16" t="s">
        <v>35</v>
      </c>
      <c r="I16" t="s">
        <v>109</v>
      </c>
      <c r="J16">
        <v>1</v>
      </c>
      <c r="K16" t="s">
        <v>110</v>
      </c>
      <c r="L16" t="s">
        <v>111</v>
      </c>
      <c r="M16" t="s">
        <v>112</v>
      </c>
      <c r="N16" t="s">
        <v>275</v>
      </c>
      <c r="O16" t="s">
        <v>113</v>
      </c>
      <c r="P16">
        <v>20</v>
      </c>
      <c r="Q16" t="s">
        <v>114</v>
      </c>
      <c r="R16" t="s">
        <v>34</v>
      </c>
      <c r="S16" t="s">
        <v>34</v>
      </c>
      <c r="T16">
        <v>100</v>
      </c>
      <c r="U16">
        <v>0.1018</v>
      </c>
      <c r="V16">
        <v>10.18</v>
      </c>
    </row>
    <row r="17" spans="1:22" x14ac:dyDescent="0.2">
      <c r="A17" t="s">
        <v>34</v>
      </c>
      <c r="B17" t="s">
        <v>270</v>
      </c>
      <c r="C17" t="s">
        <v>271</v>
      </c>
      <c r="D17" t="s">
        <v>34</v>
      </c>
      <c r="E17" t="s">
        <v>34</v>
      </c>
      <c r="F17" t="s">
        <v>362</v>
      </c>
      <c r="G17">
        <v>15</v>
      </c>
      <c r="H17" t="s">
        <v>35</v>
      </c>
      <c r="I17" t="s">
        <v>115</v>
      </c>
      <c r="J17">
        <v>1</v>
      </c>
      <c r="K17" t="s">
        <v>116</v>
      </c>
      <c r="L17" t="s">
        <v>117</v>
      </c>
      <c r="M17" t="s">
        <v>118</v>
      </c>
      <c r="N17" t="s">
        <v>274</v>
      </c>
      <c r="O17" t="s">
        <v>119</v>
      </c>
      <c r="P17">
        <v>20</v>
      </c>
      <c r="Q17" t="s">
        <v>120</v>
      </c>
      <c r="R17" t="s">
        <v>34</v>
      </c>
      <c r="S17" t="s">
        <v>34</v>
      </c>
      <c r="T17">
        <v>60</v>
      </c>
      <c r="U17">
        <v>0.01</v>
      </c>
      <c r="V17">
        <v>0.6</v>
      </c>
    </row>
    <row r="18" spans="1:22" x14ac:dyDescent="0.2">
      <c r="A18" t="s">
        <v>34</v>
      </c>
      <c r="B18" t="s">
        <v>270</v>
      </c>
      <c r="C18" t="s">
        <v>271</v>
      </c>
      <c r="D18" t="s">
        <v>34</v>
      </c>
      <c r="E18" t="s">
        <v>34</v>
      </c>
      <c r="F18" t="s">
        <v>362</v>
      </c>
      <c r="G18">
        <v>16</v>
      </c>
      <c r="H18" t="s">
        <v>35</v>
      </c>
      <c r="I18" t="s">
        <v>121</v>
      </c>
      <c r="J18">
        <v>1</v>
      </c>
      <c r="K18" t="s">
        <v>122</v>
      </c>
      <c r="L18" t="s">
        <v>123</v>
      </c>
      <c r="M18" t="s">
        <v>124</v>
      </c>
      <c r="N18" t="s">
        <v>274</v>
      </c>
      <c r="O18" t="s">
        <v>125</v>
      </c>
      <c r="P18">
        <v>20</v>
      </c>
      <c r="Q18" t="s">
        <v>126</v>
      </c>
      <c r="R18" t="s">
        <v>34</v>
      </c>
      <c r="S18" t="s">
        <v>34</v>
      </c>
      <c r="T18">
        <v>70</v>
      </c>
      <c r="U18">
        <v>3.6900000000000002E-2</v>
      </c>
      <c r="V18">
        <v>2.5830000000000002</v>
      </c>
    </row>
    <row r="19" spans="1:22" x14ac:dyDescent="0.2">
      <c r="A19" t="s">
        <v>34</v>
      </c>
      <c r="B19" t="s">
        <v>270</v>
      </c>
      <c r="C19" t="s">
        <v>271</v>
      </c>
      <c r="D19" t="s">
        <v>34</v>
      </c>
      <c r="E19" t="s">
        <v>34</v>
      </c>
      <c r="F19" t="s">
        <v>362</v>
      </c>
      <c r="G19">
        <v>17</v>
      </c>
      <c r="H19" t="s">
        <v>35</v>
      </c>
      <c r="I19" t="s">
        <v>127</v>
      </c>
      <c r="J19">
        <v>1</v>
      </c>
      <c r="K19" t="s">
        <v>128</v>
      </c>
      <c r="L19" t="s">
        <v>129</v>
      </c>
      <c r="M19" t="s">
        <v>130</v>
      </c>
      <c r="N19" t="s">
        <v>275</v>
      </c>
      <c r="O19" t="s">
        <v>131</v>
      </c>
      <c r="P19">
        <v>20</v>
      </c>
      <c r="Q19" t="s">
        <v>132</v>
      </c>
      <c r="R19" t="s">
        <v>34</v>
      </c>
      <c r="S19" t="s">
        <v>34</v>
      </c>
      <c r="T19">
        <v>100</v>
      </c>
      <c r="U19">
        <v>0.29670000000000002</v>
      </c>
      <c r="V19">
        <v>29.67</v>
      </c>
    </row>
    <row r="20" spans="1:22" x14ac:dyDescent="0.2">
      <c r="A20" t="s">
        <v>34</v>
      </c>
      <c r="B20" t="s">
        <v>270</v>
      </c>
      <c r="C20" t="s">
        <v>271</v>
      </c>
      <c r="D20" t="s">
        <v>34</v>
      </c>
      <c r="E20" t="s">
        <v>34</v>
      </c>
      <c r="F20" t="s">
        <v>362</v>
      </c>
      <c r="G20">
        <v>18</v>
      </c>
      <c r="H20" t="s">
        <v>35</v>
      </c>
      <c r="I20" t="s">
        <v>133</v>
      </c>
      <c r="J20">
        <v>1</v>
      </c>
      <c r="K20" t="s">
        <v>134</v>
      </c>
      <c r="L20" t="s">
        <v>135</v>
      </c>
      <c r="M20" t="s">
        <v>136</v>
      </c>
      <c r="N20" t="s">
        <v>274</v>
      </c>
      <c r="O20" t="s">
        <v>137</v>
      </c>
      <c r="P20">
        <v>20</v>
      </c>
      <c r="Q20" t="s">
        <v>138</v>
      </c>
      <c r="R20" t="s">
        <v>34</v>
      </c>
      <c r="S20" t="s">
        <v>34</v>
      </c>
      <c r="T20">
        <v>70</v>
      </c>
      <c r="U20">
        <v>7.5999999999999998E-2</v>
      </c>
      <c r="V20">
        <v>5.32</v>
      </c>
    </row>
    <row r="21" spans="1:22" x14ac:dyDescent="0.2">
      <c r="A21" t="s">
        <v>34</v>
      </c>
      <c r="B21" t="s">
        <v>270</v>
      </c>
      <c r="C21" t="s">
        <v>271</v>
      </c>
      <c r="D21" t="s">
        <v>34</v>
      </c>
      <c r="E21" t="s">
        <v>34</v>
      </c>
      <c r="F21" t="s">
        <v>362</v>
      </c>
      <c r="G21">
        <v>19</v>
      </c>
      <c r="H21" t="s">
        <v>35</v>
      </c>
      <c r="I21" t="s">
        <v>139</v>
      </c>
      <c r="J21">
        <v>1</v>
      </c>
      <c r="K21" t="s">
        <v>140</v>
      </c>
      <c r="L21" t="s">
        <v>141</v>
      </c>
      <c r="M21" t="s">
        <v>142</v>
      </c>
      <c r="N21" t="s">
        <v>275</v>
      </c>
      <c r="O21" t="s">
        <v>143</v>
      </c>
      <c r="P21">
        <v>20</v>
      </c>
      <c r="Q21" t="s">
        <v>144</v>
      </c>
      <c r="R21" t="s">
        <v>34</v>
      </c>
      <c r="S21" t="s">
        <v>34</v>
      </c>
      <c r="T21">
        <v>20</v>
      </c>
      <c r="U21">
        <v>8.6140000000000008</v>
      </c>
      <c r="V21">
        <v>172.28000000000003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51</vt:i4>
      </vt:variant>
    </vt:vector>
  </HeadingPairs>
  <TitlesOfParts>
    <vt:vector size="61" baseType="lpstr">
      <vt:lpstr>Overview</vt:lpstr>
      <vt:lpstr>BOM</vt:lpstr>
      <vt:lpstr>Purchasing</vt:lpstr>
      <vt:lpstr>POs</vt:lpstr>
      <vt:lpstr>Rev History</vt:lpstr>
      <vt:lpstr>BCFAR</vt:lpstr>
      <vt:lpstr>BCDIG</vt:lpstr>
      <vt:lpstr>BCMOU</vt:lpstr>
      <vt:lpstr>Calculations</vt:lpstr>
      <vt:lpstr>IMPORT</vt:lpstr>
      <vt:lpstr>BOM!BuildQty</vt:lpstr>
      <vt:lpstr>BOM!BuildQty_Data</vt:lpstr>
      <vt:lpstr>BOM!BuildType</vt:lpstr>
      <vt:lpstr>BOM!BuildType_Data</vt:lpstr>
      <vt:lpstr>BOM!CheckBy</vt:lpstr>
      <vt:lpstr>BOM!CheckBy_Data</vt:lpstr>
      <vt:lpstr>BOM!Class</vt:lpstr>
      <vt:lpstr>BOM!Class_Data</vt:lpstr>
      <vt:lpstr>BOM!Consigned</vt:lpstr>
      <vt:lpstr>BOM!Consigned_Data</vt:lpstr>
      <vt:lpstr>BOM!CPN</vt:lpstr>
      <vt:lpstr>BOM!CPN_Data</vt:lpstr>
      <vt:lpstr>BOM!Description</vt:lpstr>
      <vt:lpstr>BOM!Description_Data</vt:lpstr>
      <vt:lpstr>BOM!EAS</vt:lpstr>
      <vt:lpstr>BOM!IPN</vt:lpstr>
      <vt:lpstr>BOM!IPN_Data</vt:lpstr>
      <vt:lpstr>BOM!Item</vt:lpstr>
      <vt:lpstr>BOM!Item_Data</vt:lpstr>
      <vt:lpstr>BOM!Location</vt:lpstr>
      <vt:lpstr>BOM!Location_Data</vt:lpstr>
      <vt:lpstr>BOM!MPN</vt:lpstr>
      <vt:lpstr>BOM!MPN_Data</vt:lpstr>
      <vt:lpstr>BOM!MPNList</vt:lpstr>
      <vt:lpstr>BOM!MPNList_Data</vt:lpstr>
      <vt:lpstr>BOM!Notes</vt:lpstr>
      <vt:lpstr>BOM!Notes_Data</vt:lpstr>
      <vt:lpstr>BOM!OrderQty</vt:lpstr>
      <vt:lpstr>BOM!OrderQty_Data</vt:lpstr>
      <vt:lpstr>BOM!ProductCode</vt:lpstr>
      <vt:lpstr>BOM!ProductCode_Data</vt:lpstr>
      <vt:lpstr>BOM!ProductType</vt:lpstr>
      <vt:lpstr>BOM!ProductType_Data</vt:lpstr>
      <vt:lpstr>BOM!Qty</vt:lpstr>
      <vt:lpstr>BOM!Qty_Data</vt:lpstr>
      <vt:lpstr>BOM!QtyRecd</vt:lpstr>
      <vt:lpstr>BOM!QtyRecd_Data</vt:lpstr>
      <vt:lpstr>BOM!RefDes</vt:lpstr>
      <vt:lpstr>BOM!RefDes_Data</vt:lpstr>
      <vt:lpstr>BOM!SPN</vt:lpstr>
      <vt:lpstr>BOM!SPN_Data</vt:lpstr>
      <vt:lpstr>BOM!Supplier</vt:lpstr>
      <vt:lpstr>BOM!Supplier_Data</vt:lpstr>
      <vt:lpstr>BOM!TotalPrice</vt:lpstr>
      <vt:lpstr>BOM!TotalPrice_Data</vt:lpstr>
      <vt:lpstr>BOM!UnitPrice</vt:lpstr>
      <vt:lpstr>BOM!UnitPrice_Data</vt:lpstr>
      <vt:lpstr>BOM!UserAtt</vt:lpstr>
      <vt:lpstr>BOM!UserAtt_Data</vt:lpstr>
      <vt:lpstr>BOM!WorksOrder</vt:lpstr>
      <vt:lpstr>BOM!WorksOrder_Data</vt:lpstr>
    </vt:vector>
  </TitlesOfParts>
  <Company>Router Solutions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BOM-Connector</dc:creator>
  <cp:lastModifiedBy>Aaron</cp:lastModifiedBy>
  <dcterms:created xsi:type="dcterms:W3CDTF">2009-12-09T16:30:01Z</dcterms:created>
  <dcterms:modified xsi:type="dcterms:W3CDTF">2023-09-05T13:36:17Z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cVersion">
    <vt:i4>1</vt:i4>
  </property>
</Properties>
</file>